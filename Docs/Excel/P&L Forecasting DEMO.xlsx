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AI and Programing\Proyects\Profesional Portafolio\Docs\Excel\English\"/>
    </mc:Choice>
  </mc:AlternateContent>
  <xr:revisionPtr revIDLastSave="0" documentId="13_ncr:1_{DD7DC2B9-68E5-43E2-9F3E-E0D7B2B810F8}" xr6:coauthVersionLast="47" xr6:coauthVersionMax="47" xr10:uidLastSave="{00000000-0000-0000-0000-000000000000}"/>
  <bookViews>
    <workbookView xWindow="-108" yWindow="-108" windowWidth="23256" windowHeight="12576" tabRatio="874" activeTab="8" xr2:uid="{A3849BFA-D952-4158-BA53-18DFF70ED586}"/>
  </bookViews>
  <sheets>
    <sheet name="Contents" sheetId="44" r:id="rId1"/>
    <sheet name="P&amp;L (Old)" sheetId="6" state="hidden" r:id="rId2"/>
    <sheet name="Financial Objectives" sheetId="43" r:id="rId3"/>
    <sheet name="Revenue" sheetId="3" r:id="rId4"/>
    <sheet name="Costs" sheetId="16" r:id="rId5"/>
    <sheet name="Expenses" sheetId="35" r:id="rId6"/>
    <sheet name="Personal" sheetId="4" state="hidden" r:id="rId7"/>
    <sheet name="LOANS" sheetId="5" r:id="rId8"/>
    <sheet name="P&amp;L (New)" sheetId="47" r:id="rId9"/>
    <sheet name="P&amp;L Visuals" sheetId="49" r:id="rId10"/>
    <sheet name="Income Data - 12 Period" sheetId="48" state="hidden" r:id="rId11"/>
    <sheet name="LEASING" sheetId="45" state="hidden" r:id="rId12"/>
    <sheet name="Balance Sheet" sheetId="46" state="hidden" r:id="rId13"/>
    <sheet name="Cash Flow" sheetId="42" state="hidden" r:id="rId14"/>
    <sheet name="7.-Balance Sheet" sheetId="14" state="hidden" r:id="rId15"/>
    <sheet name="Ratios" sheetId="34" state="hidden" r:id="rId16"/>
  </sheets>
  <externalReferences>
    <externalReference r:id="rId17"/>
    <externalReference r:id="rId18"/>
  </externalReferences>
  <definedNames>
    <definedName name="Imprimir_área_IM">#REF!</definedName>
    <definedName name="_xlnm.Print_Area" localSheetId="14">'7.-Balance Sheet'!$A$1:$H$60</definedName>
    <definedName name="_xlnm.Print_Area" localSheetId="4">Costs!$A$1:$I$34</definedName>
    <definedName name="_xlnm.Print_Area" localSheetId="11">LEASING!$A$3:$H$140</definedName>
    <definedName name="_xlnm.Print_Area" localSheetId="7">LOANS!$A$1:$I$40</definedName>
    <definedName name="_xlnm.Print_Area" localSheetId="1">'P&amp;L (Old)'!$A$1:$O$68</definedName>
    <definedName name="_xlnm.Print_Area" localSheetId="3">Revenue!$A$1:$I$36</definedName>
  </definedNames>
  <calcPr calcId="181029"/>
  <fileRecoveryPr autoRecover="0"/>
</workbook>
</file>

<file path=xl/calcChain.xml><?xml version="1.0" encoding="utf-8"?>
<calcChain xmlns="http://schemas.openxmlformats.org/spreadsheetml/2006/main">
  <c r="F58" i="47" l="1"/>
  <c r="B13" i="35"/>
  <c r="B12" i="35"/>
  <c r="G20" i="3"/>
  <c r="G18" i="3"/>
  <c r="G8" i="3" s="1"/>
  <c r="F18" i="3"/>
  <c r="F23" i="3" s="1"/>
  <c r="E18" i="3"/>
  <c r="F10" i="3" s="1"/>
  <c r="G6" i="16"/>
  <c r="H6" i="16"/>
  <c r="I6" i="16" s="1"/>
  <c r="C48" i="47"/>
  <c r="G40" i="47"/>
  <c r="F40" i="47"/>
  <c r="E40" i="47"/>
  <c r="D40" i="47"/>
  <c r="B48" i="47"/>
  <c r="A1" i="4"/>
  <c r="D16" i="47"/>
  <c r="B17" i="47"/>
  <c r="C17" i="47"/>
  <c r="C15" i="47" s="1"/>
  <c r="B18" i="47"/>
  <c r="C18" i="47"/>
  <c r="B21" i="47"/>
  <c r="C21" i="47"/>
  <c r="C20" i="47" s="1"/>
  <c r="B22" i="47"/>
  <c r="C22" i="47"/>
  <c r="B23" i="47"/>
  <c r="C23" i="47"/>
  <c r="B24" i="47"/>
  <c r="C24" i="47"/>
  <c r="B25" i="47"/>
  <c r="C25" i="47"/>
  <c r="B26" i="47"/>
  <c r="C26" i="47"/>
  <c r="B27" i="47"/>
  <c r="C27" i="47"/>
  <c r="B28" i="47"/>
  <c r="C28" i="47"/>
  <c r="B31" i="47"/>
  <c r="B30" i="47" s="1"/>
  <c r="C31" i="47"/>
  <c r="C30" i="47" s="1"/>
  <c r="B34" i="47"/>
  <c r="B33" i="47" s="1"/>
  <c r="C34" i="47"/>
  <c r="C33" i="47" s="1"/>
  <c r="B37" i="47"/>
  <c r="C37" i="47"/>
  <c r="C36" i="47" s="1"/>
  <c r="B38" i="47"/>
  <c r="C38" i="47"/>
  <c r="B42" i="47"/>
  <c r="B40" i="47" s="1"/>
  <c r="C42" i="47"/>
  <c r="B43" i="47"/>
  <c r="C43" i="47"/>
  <c r="G5" i="16"/>
  <c r="H5" i="16"/>
  <c r="I5" i="16" s="1"/>
  <c r="I8" i="16" s="1"/>
  <c r="H28" i="35"/>
  <c r="I28" i="35" s="1"/>
  <c r="H22" i="35"/>
  <c r="I22" i="35" s="1"/>
  <c r="H21" i="35"/>
  <c r="I21" i="35" s="1"/>
  <c r="H20" i="35"/>
  <c r="I20" i="35" s="1"/>
  <c r="H19" i="35"/>
  <c r="I19" i="35" s="1"/>
  <c r="H18" i="35"/>
  <c r="I18" i="35" s="1"/>
  <c r="H17" i="35"/>
  <c r="I17" i="35" s="1"/>
  <c r="H16" i="35"/>
  <c r="I16" i="35" s="1"/>
  <c r="H15" i="35"/>
  <c r="I15" i="35" s="1"/>
  <c r="H14" i="35"/>
  <c r="I14" i="35" s="1"/>
  <c r="H13" i="35"/>
  <c r="I13" i="35" s="1"/>
  <c r="H12" i="35"/>
  <c r="I12" i="35" s="1"/>
  <c r="K39" i="4"/>
  <c r="C39" i="4"/>
  <c r="N37" i="4"/>
  <c r="O37" i="4" s="1"/>
  <c r="M37" i="4"/>
  <c r="F37" i="4"/>
  <c r="G37" i="4"/>
  <c r="E37" i="4"/>
  <c r="N36" i="4"/>
  <c r="O36" i="4" s="1"/>
  <c r="M36" i="4"/>
  <c r="F36" i="4"/>
  <c r="G36" i="4" s="1"/>
  <c r="E36" i="4"/>
  <c r="N35" i="4"/>
  <c r="O35" i="4" s="1"/>
  <c r="M35" i="4"/>
  <c r="F35" i="4"/>
  <c r="G35" i="4" s="1"/>
  <c r="G33" i="4" s="1"/>
  <c r="G39" i="4" s="1"/>
  <c r="E35" i="4"/>
  <c r="K27" i="4"/>
  <c r="C27" i="4"/>
  <c r="N24" i="4"/>
  <c r="O24" i="4" s="1"/>
  <c r="M24" i="4"/>
  <c r="F24" i="4"/>
  <c r="G24" i="4"/>
  <c r="E24" i="4"/>
  <c r="N23" i="4"/>
  <c r="O23" i="4" s="1"/>
  <c r="M23" i="4"/>
  <c r="F23" i="4"/>
  <c r="G23" i="4" s="1"/>
  <c r="E23" i="4"/>
  <c r="N22" i="4"/>
  <c r="O22" i="4" s="1"/>
  <c r="M22" i="4"/>
  <c r="F22" i="4"/>
  <c r="G22" i="4"/>
  <c r="E22" i="4"/>
  <c r="N21" i="4"/>
  <c r="O21" i="4" s="1"/>
  <c r="M21" i="4"/>
  <c r="F21" i="4"/>
  <c r="G21" i="4" s="1"/>
  <c r="E21" i="4"/>
  <c r="N20" i="4"/>
  <c r="O20" i="4" s="1"/>
  <c r="M20" i="4"/>
  <c r="F20" i="4"/>
  <c r="G20" i="4"/>
  <c r="E20" i="4"/>
  <c r="N19" i="4"/>
  <c r="O19" i="4" s="1"/>
  <c r="M19" i="4"/>
  <c r="F19" i="4"/>
  <c r="G19" i="4" s="1"/>
  <c r="E19" i="4"/>
  <c r="N18" i="4"/>
  <c r="O18" i="4" s="1"/>
  <c r="M18" i="4"/>
  <c r="F18" i="4"/>
  <c r="G18" i="4"/>
  <c r="E18" i="4"/>
  <c r="N17" i="4"/>
  <c r="O17" i="4" s="1"/>
  <c r="M17" i="4"/>
  <c r="F17" i="4"/>
  <c r="G17" i="4" s="1"/>
  <c r="E17" i="4"/>
  <c r="N16" i="4"/>
  <c r="O16" i="4" s="1"/>
  <c r="M16" i="4"/>
  <c r="F16" i="4"/>
  <c r="G16" i="4"/>
  <c r="E16" i="4"/>
  <c r="N15" i="4"/>
  <c r="O15" i="4" s="1"/>
  <c r="M15" i="4"/>
  <c r="F15" i="4"/>
  <c r="G15" i="4" s="1"/>
  <c r="E15" i="4"/>
  <c r="N14" i="4"/>
  <c r="O14" i="4" s="1"/>
  <c r="M14" i="4"/>
  <c r="F14" i="4"/>
  <c r="G14" i="4"/>
  <c r="E14" i="4"/>
  <c r="N13" i="4"/>
  <c r="O13" i="4" s="1"/>
  <c r="M13" i="4"/>
  <c r="F13" i="4"/>
  <c r="G13" i="4" s="1"/>
  <c r="E13" i="4"/>
  <c r="N12" i="4"/>
  <c r="O12" i="4" s="1"/>
  <c r="M12" i="4"/>
  <c r="F12" i="4"/>
  <c r="G12" i="4"/>
  <c r="E12" i="4"/>
  <c r="N11" i="4"/>
  <c r="O11" i="4" s="1"/>
  <c r="M11" i="4"/>
  <c r="F11" i="4"/>
  <c r="G11" i="4" s="1"/>
  <c r="E11" i="4"/>
  <c r="N10" i="4"/>
  <c r="M10" i="4"/>
  <c r="F10" i="4"/>
  <c r="G10" i="4"/>
  <c r="E10" i="4"/>
  <c r="N9" i="4"/>
  <c r="O9" i="4" s="1"/>
  <c r="M9" i="4"/>
  <c r="F9" i="4"/>
  <c r="G9" i="4" s="1"/>
  <c r="E9" i="4"/>
  <c r="I1" i="4"/>
  <c r="B8" i="48"/>
  <c r="C8" i="48"/>
  <c r="D8" i="48"/>
  <c r="E8" i="48"/>
  <c r="F8" i="48"/>
  <c r="G8" i="48"/>
  <c r="H8" i="48"/>
  <c r="I8" i="48"/>
  <c r="J8" i="48"/>
  <c r="K8" i="48"/>
  <c r="L8" i="48"/>
  <c r="M8" i="48"/>
  <c r="B20" i="48"/>
  <c r="C20" i="48"/>
  <c r="D20" i="48"/>
  <c r="E20" i="48"/>
  <c r="F20" i="48"/>
  <c r="G20" i="48"/>
  <c r="H20" i="48"/>
  <c r="I20" i="48"/>
  <c r="J20" i="48"/>
  <c r="K20" i="48"/>
  <c r="L20" i="48"/>
  <c r="M20" i="48"/>
  <c r="B22" i="48"/>
  <c r="C22" i="48"/>
  <c r="D22" i="48"/>
  <c r="E22" i="48"/>
  <c r="F22" i="48"/>
  <c r="G22" i="48"/>
  <c r="H22" i="48"/>
  <c r="H80" i="48" s="1"/>
  <c r="I22" i="48"/>
  <c r="J22" i="48"/>
  <c r="K22" i="48"/>
  <c r="L22" i="48"/>
  <c r="L80" i="48" s="1"/>
  <c r="M22" i="48"/>
  <c r="B78" i="48"/>
  <c r="C78" i="48"/>
  <c r="D78" i="48"/>
  <c r="E78" i="48"/>
  <c r="F78" i="48"/>
  <c r="F80" i="48" s="1"/>
  <c r="G78" i="48"/>
  <c r="H78" i="48"/>
  <c r="I78" i="48"/>
  <c r="J78" i="48"/>
  <c r="K78" i="48"/>
  <c r="L78" i="48"/>
  <c r="M78" i="48"/>
  <c r="B80" i="48"/>
  <c r="C80" i="48"/>
  <c r="E80" i="48"/>
  <c r="I80" i="48"/>
  <c r="J80" i="48"/>
  <c r="M80" i="48"/>
  <c r="N76" i="48"/>
  <c r="B17" i="35" s="1"/>
  <c r="C17" i="35" s="1"/>
  <c r="N75" i="48"/>
  <c r="N74" i="48"/>
  <c r="N73" i="48"/>
  <c r="N72" i="48"/>
  <c r="N71" i="48"/>
  <c r="N70" i="48"/>
  <c r="N69" i="48"/>
  <c r="N68" i="48"/>
  <c r="N67" i="48"/>
  <c r="N66" i="48"/>
  <c r="B18" i="35"/>
  <c r="C18" i="35" s="1"/>
  <c r="N65" i="48"/>
  <c r="N64" i="48"/>
  <c r="N63" i="48"/>
  <c r="N62" i="48"/>
  <c r="N61" i="48"/>
  <c r="N60" i="48"/>
  <c r="B21" i="35" s="1"/>
  <c r="C21" i="35" s="1"/>
  <c r="D21" i="35" s="1"/>
  <c r="N59" i="48"/>
  <c r="N58" i="48"/>
  <c r="B14" i="35"/>
  <c r="C14" i="35"/>
  <c r="D14" i="35" s="1"/>
  <c r="N57" i="48"/>
  <c r="B19" i="35" s="1"/>
  <c r="N56" i="48"/>
  <c r="B25" i="35" s="1"/>
  <c r="N55" i="48"/>
  <c r="N54" i="48"/>
  <c r="B16" i="35" s="1"/>
  <c r="C16" i="35" s="1"/>
  <c r="N53" i="48"/>
  <c r="B29" i="35" s="1"/>
  <c r="C29" i="35" s="1"/>
  <c r="N52" i="48"/>
  <c r="B30" i="35" s="1"/>
  <c r="C30" i="35" s="1"/>
  <c r="N51" i="48"/>
  <c r="N50" i="48"/>
  <c r="N49" i="48"/>
  <c r="B28" i="35"/>
  <c r="C28" i="35" s="1"/>
  <c r="N48" i="48"/>
  <c r="B20" i="35" s="1"/>
  <c r="N47" i="48"/>
  <c r="B10" i="35" s="1"/>
  <c r="C10" i="35" s="1"/>
  <c r="D10" i="35" s="1"/>
  <c r="E10" i="35" s="1"/>
  <c r="N46" i="48"/>
  <c r="B35" i="35" s="1"/>
  <c r="C35" i="35" s="1"/>
  <c r="N45" i="48"/>
  <c r="B32" i="35"/>
  <c r="C32" i="35" s="1"/>
  <c r="C31" i="35" s="1"/>
  <c r="E36" i="47" s="1"/>
  <c r="N44" i="48"/>
  <c r="N43" i="48"/>
  <c r="N42" i="48"/>
  <c r="N41" i="48"/>
  <c r="B26" i="35"/>
  <c r="N40" i="48"/>
  <c r="N39" i="48"/>
  <c r="N38" i="48"/>
  <c r="B34" i="35"/>
  <c r="C34" i="35" s="1"/>
  <c r="D34" i="35" s="1"/>
  <c r="N37" i="48"/>
  <c r="N36" i="48"/>
  <c r="N35" i="48"/>
  <c r="B24" i="35"/>
  <c r="C24" i="35" s="1"/>
  <c r="N34" i="48"/>
  <c r="N33" i="48"/>
  <c r="N32" i="48"/>
  <c r="N31" i="48"/>
  <c r="N30" i="48"/>
  <c r="B15" i="35" s="1"/>
  <c r="C15" i="35" s="1"/>
  <c r="N29" i="48"/>
  <c r="B22" i="35"/>
  <c r="C22" i="35" s="1"/>
  <c r="N28" i="48"/>
  <c r="N27" i="48"/>
  <c r="N26" i="48"/>
  <c r="N25" i="48"/>
  <c r="B8" i="35"/>
  <c r="N18" i="48"/>
  <c r="N17" i="48"/>
  <c r="N16" i="48"/>
  <c r="N15" i="48"/>
  <c r="N14" i="48"/>
  <c r="N13" i="48"/>
  <c r="N12" i="48"/>
  <c r="N6" i="48"/>
  <c r="N5" i="48"/>
  <c r="N4" i="48"/>
  <c r="N3" i="48"/>
  <c r="H35" i="35"/>
  <c r="I35" i="35" s="1"/>
  <c r="H34" i="35"/>
  <c r="I34" i="35" s="1"/>
  <c r="H30" i="35"/>
  <c r="I30" i="35" s="1"/>
  <c r="H29" i="35"/>
  <c r="I29" i="35" s="1"/>
  <c r="F7" i="3"/>
  <c r="F6" i="3"/>
  <c r="C62" i="47"/>
  <c r="D18" i="3"/>
  <c r="H26" i="35"/>
  <c r="D26" i="35" s="1"/>
  <c r="H25" i="35"/>
  <c r="D25" i="35" s="1"/>
  <c r="H24" i="35"/>
  <c r="I24" i="35" s="1"/>
  <c r="H6" i="35"/>
  <c r="I6" i="35" s="1"/>
  <c r="A1" i="35"/>
  <c r="A1" i="5"/>
  <c r="A1" i="34" s="1"/>
  <c r="C6" i="35"/>
  <c r="D6" i="35" s="1"/>
  <c r="E6" i="35" s="1"/>
  <c r="F9" i="16"/>
  <c r="F8" i="16"/>
  <c r="E18" i="16"/>
  <c r="D18" i="16"/>
  <c r="F7" i="6"/>
  <c r="G7" i="6"/>
  <c r="H7" i="6" s="1"/>
  <c r="I7" i="6" s="1"/>
  <c r="J7" i="6"/>
  <c r="K7" i="6" s="1"/>
  <c r="C56" i="47"/>
  <c r="B53" i="47"/>
  <c r="B56" i="47"/>
  <c r="C47" i="47"/>
  <c r="D47" i="47" s="1"/>
  <c r="E47" i="47" s="1"/>
  <c r="B47" i="47"/>
  <c r="B15" i="47"/>
  <c r="C10" i="47"/>
  <c r="C12" i="47" s="1"/>
  <c r="C66" i="47" s="1"/>
  <c r="B10" i="47"/>
  <c r="B12" i="47" s="1"/>
  <c r="B66" i="47" s="1"/>
  <c r="E6" i="47"/>
  <c r="F6" i="47" s="1"/>
  <c r="G6" i="47" s="1"/>
  <c r="C6" i="47"/>
  <c r="B6" i="47"/>
  <c r="F13" i="16"/>
  <c r="D13" i="3"/>
  <c r="D14" i="3" s="1"/>
  <c r="D13" i="16" s="1"/>
  <c r="C17" i="5"/>
  <c r="F25" i="5" s="1"/>
  <c r="F23" i="5"/>
  <c r="I14" i="14"/>
  <c r="I13" i="14"/>
  <c r="C14" i="34"/>
  <c r="J10" i="46"/>
  <c r="J14" i="46" s="1"/>
  <c r="I10" i="46"/>
  <c r="H10" i="46"/>
  <c r="G10" i="46"/>
  <c r="F10" i="46"/>
  <c r="F20" i="46"/>
  <c r="G17" i="46"/>
  <c r="H17" i="46" s="1"/>
  <c r="F21" i="46"/>
  <c r="G21" i="46"/>
  <c r="H21" i="46" s="1"/>
  <c r="I21" i="46" s="1"/>
  <c r="J21" i="46" s="1"/>
  <c r="F4" i="34"/>
  <c r="G4" i="34" s="1"/>
  <c r="H4" i="34" s="1"/>
  <c r="I4" i="34"/>
  <c r="E13" i="46"/>
  <c r="E12" i="46"/>
  <c r="E60" i="46"/>
  <c r="F60" i="46"/>
  <c r="F59" i="46"/>
  <c r="G59" i="46" s="1"/>
  <c r="H59" i="46" s="1"/>
  <c r="I59" i="46"/>
  <c r="F58" i="46"/>
  <c r="D62" i="46"/>
  <c r="F16" i="6"/>
  <c r="C16" i="42" s="1"/>
  <c r="J52" i="46"/>
  <c r="E73" i="46"/>
  <c r="D73" i="46"/>
  <c r="F43" i="46"/>
  <c r="G43" i="46" s="1"/>
  <c r="H43" i="46" s="1"/>
  <c r="I43" i="46"/>
  <c r="J43" i="46" s="1"/>
  <c r="F42" i="46"/>
  <c r="G42" i="46" s="1"/>
  <c r="H42" i="46" s="1"/>
  <c r="I42" i="46"/>
  <c r="J42" i="46" s="1"/>
  <c r="F38" i="46"/>
  <c r="G38" i="46"/>
  <c r="H38" i="46" s="1"/>
  <c r="I38" i="46" s="1"/>
  <c r="J38" i="46" s="1"/>
  <c r="G58" i="46"/>
  <c r="H58" i="46"/>
  <c r="I58" i="46" s="1"/>
  <c r="F28" i="46"/>
  <c r="G28" i="46" s="1"/>
  <c r="F23" i="46"/>
  <c r="G23" i="46"/>
  <c r="H23" i="46" s="1"/>
  <c r="I23" i="46" s="1"/>
  <c r="J23" i="46" s="1"/>
  <c r="F22" i="46"/>
  <c r="G22" i="46" s="1"/>
  <c r="H22" i="46" s="1"/>
  <c r="I22" i="46" s="1"/>
  <c r="J22" i="46" s="1"/>
  <c r="F19" i="46"/>
  <c r="G19" i="46" s="1"/>
  <c r="H19" i="46" s="1"/>
  <c r="I19" i="46"/>
  <c r="J19" i="46" s="1"/>
  <c r="F7" i="46"/>
  <c r="G7" i="46" s="1"/>
  <c r="H7" i="46" s="1"/>
  <c r="I7" i="46"/>
  <c r="J7" i="46" s="1"/>
  <c r="E70" i="46"/>
  <c r="E69" i="46"/>
  <c r="D69" i="46"/>
  <c r="D71" i="46"/>
  <c r="D70" i="46"/>
  <c r="D52" i="46"/>
  <c r="E52" i="46"/>
  <c r="D45" i="46"/>
  <c r="D74" i="46" s="1"/>
  <c r="E45" i="46"/>
  <c r="D30" i="46"/>
  <c r="E30" i="46"/>
  <c r="D24" i="46"/>
  <c r="E24" i="46"/>
  <c r="D22" i="46"/>
  <c r="D20" i="46"/>
  <c r="D18" i="46"/>
  <c r="D14" i="46"/>
  <c r="C19" i="34"/>
  <c r="F28" i="42"/>
  <c r="F27" i="42"/>
  <c r="F25" i="42"/>
  <c r="F24" i="42"/>
  <c r="D19" i="42"/>
  <c r="E6" i="42"/>
  <c r="F6" i="42"/>
  <c r="G6" i="42"/>
  <c r="H6" i="42" s="1"/>
  <c r="F139" i="45"/>
  <c r="H30" i="42"/>
  <c r="F138" i="45"/>
  <c r="G30" i="42" s="1"/>
  <c r="F137" i="45"/>
  <c r="F30" i="42"/>
  <c r="E134" i="45"/>
  <c r="F136" i="45"/>
  <c r="E30" i="42"/>
  <c r="F135" i="45"/>
  <c r="F41" i="46" s="1"/>
  <c r="G41" i="46" s="1"/>
  <c r="H41" i="46" s="1"/>
  <c r="I41" i="46" s="1"/>
  <c r="J41" i="46" s="1"/>
  <c r="F134" i="45"/>
  <c r="C30" i="42"/>
  <c r="E112" i="45"/>
  <c r="F115" i="45"/>
  <c r="G29" i="42" s="1"/>
  <c r="F114" i="45"/>
  <c r="F29" i="42"/>
  <c r="F113" i="45"/>
  <c r="E29" i="42" s="1"/>
  <c r="F112" i="45"/>
  <c r="D29" i="42"/>
  <c r="F88" i="45"/>
  <c r="E28" i="42" s="1"/>
  <c r="F87" i="45"/>
  <c r="D28" i="42"/>
  <c r="E86" i="45"/>
  <c r="F86" i="45"/>
  <c r="C28" i="42"/>
  <c r="E64" i="45"/>
  <c r="F66" i="45"/>
  <c r="E27" i="42" s="1"/>
  <c r="F65" i="45"/>
  <c r="D27" i="42"/>
  <c r="F64" i="45"/>
  <c r="F40" i="45"/>
  <c r="F26" i="42"/>
  <c r="I29" i="6"/>
  <c r="J29" i="6" s="1"/>
  <c r="A135" i="45"/>
  <c r="A136" i="45"/>
  <c r="A137" i="45" s="1"/>
  <c r="A138" i="45" s="1"/>
  <c r="A139" i="45" s="1"/>
  <c r="A114" i="45"/>
  <c r="A115" i="45" s="1"/>
  <c r="A87" i="45"/>
  <c r="A88" i="45" s="1"/>
  <c r="A66" i="45"/>
  <c r="F39" i="45"/>
  <c r="E26" i="42"/>
  <c r="F38" i="45"/>
  <c r="D26" i="42"/>
  <c r="A38" i="45"/>
  <c r="A39" i="45"/>
  <c r="A40" i="45" s="1"/>
  <c r="F37" i="45"/>
  <c r="C26" i="42"/>
  <c r="E37" i="45"/>
  <c r="F30" i="6" s="1"/>
  <c r="F17" i="45"/>
  <c r="E25" i="42"/>
  <c r="A17" i="45"/>
  <c r="F16" i="45"/>
  <c r="D25" i="42" s="1"/>
  <c r="F15" i="45"/>
  <c r="C25" i="42"/>
  <c r="E15" i="45"/>
  <c r="G18" i="6"/>
  <c r="F18" i="46"/>
  <c r="F17" i="6"/>
  <c r="H20" i="6"/>
  <c r="E19" i="42"/>
  <c r="I20" i="6"/>
  <c r="F19" i="42" s="1"/>
  <c r="E21" i="6"/>
  <c r="Q21" i="6"/>
  <c r="F20" i="6"/>
  <c r="C19" i="42" s="1"/>
  <c r="E17" i="6"/>
  <c r="A3" i="42"/>
  <c r="C13" i="42"/>
  <c r="D2" i="14"/>
  <c r="D4" i="14"/>
  <c r="G7" i="14"/>
  <c r="H7" i="14" s="1"/>
  <c r="I7" i="14" s="1"/>
  <c r="J7" i="14" s="1"/>
  <c r="D11" i="14"/>
  <c r="E13" i="14"/>
  <c r="C14" i="14"/>
  <c r="E14" i="14"/>
  <c r="J14" i="14" s="1"/>
  <c r="F14" i="14"/>
  <c r="C16" i="14"/>
  <c r="D16" i="14"/>
  <c r="E16" i="14"/>
  <c r="F16" i="14"/>
  <c r="D27" i="14"/>
  <c r="E27" i="14"/>
  <c r="F27" i="14"/>
  <c r="C37" i="14"/>
  <c r="I37" i="14"/>
  <c r="E38" i="14"/>
  <c r="J37" i="14" s="1"/>
  <c r="D39" i="14"/>
  <c r="D37" i="14"/>
  <c r="C46" i="14"/>
  <c r="C49" i="14" s="1"/>
  <c r="E54" i="14"/>
  <c r="C58" i="14"/>
  <c r="D58" i="14"/>
  <c r="P8" i="6"/>
  <c r="R8" i="6"/>
  <c r="Q9" i="6"/>
  <c r="S9" i="6"/>
  <c r="Q11" i="6"/>
  <c r="S11" i="6"/>
  <c r="G12" i="6"/>
  <c r="C13" i="6"/>
  <c r="C45" i="6"/>
  <c r="E13" i="6"/>
  <c r="C6" i="34"/>
  <c r="F13" i="6"/>
  <c r="D6" i="34"/>
  <c r="Q13" i="6"/>
  <c r="Q15" i="6"/>
  <c r="S15" i="6"/>
  <c r="Q16" i="6"/>
  <c r="S16" i="6"/>
  <c r="Q17" i="6"/>
  <c r="S17" i="6"/>
  <c r="Q18" i="6"/>
  <c r="S18" i="6"/>
  <c r="F25" i="6"/>
  <c r="G25" i="6" s="1"/>
  <c r="C26" i="6"/>
  <c r="C15" i="6"/>
  <c r="C24" i="6" s="1"/>
  <c r="C38" i="6" s="1"/>
  <c r="C42" i="6" s="1"/>
  <c r="D26" i="6"/>
  <c r="D15" i="6" s="1"/>
  <c r="P15" i="6" s="1"/>
  <c r="S35" i="6"/>
  <c r="E40" i="6"/>
  <c r="Q40" i="6"/>
  <c r="F40" i="6"/>
  <c r="C33" i="42"/>
  <c r="Q41" i="6"/>
  <c r="S41" i="6"/>
  <c r="O77" i="6"/>
  <c r="N78" i="6"/>
  <c r="O78" i="6"/>
  <c r="D11" i="6"/>
  <c r="A1" i="16"/>
  <c r="A1" i="6"/>
  <c r="D1" i="14" s="1"/>
  <c r="D9" i="6"/>
  <c r="E17" i="5"/>
  <c r="A18" i="5"/>
  <c r="A19" i="5"/>
  <c r="A20" i="5" s="1"/>
  <c r="A21" i="5" s="1"/>
  <c r="A22" i="5" s="1"/>
  <c r="A23" i="5" s="1"/>
  <c r="A24" i="5" s="1"/>
  <c r="A25" i="5" s="1"/>
  <c r="A26" i="5" s="1"/>
  <c r="G39" i="46"/>
  <c r="G36" i="6"/>
  <c r="F40" i="46"/>
  <c r="G40" i="46" s="1"/>
  <c r="H40" i="46" s="1"/>
  <c r="I40" i="46" s="1"/>
  <c r="J40" i="46" s="1"/>
  <c r="D134" i="45"/>
  <c r="G134" i="45" s="1"/>
  <c r="C135" i="45" s="1"/>
  <c r="D37" i="45"/>
  <c r="G37" i="45"/>
  <c r="C38" i="45" s="1"/>
  <c r="E38" i="45" s="1"/>
  <c r="G30" i="6" s="1"/>
  <c r="F22" i="45"/>
  <c r="F140" i="45"/>
  <c r="F92" i="45"/>
  <c r="H14" i="45"/>
  <c r="S19" i="6"/>
  <c r="Q19" i="6"/>
  <c r="H29" i="6"/>
  <c r="H18" i="6"/>
  <c r="I18" i="6" s="1"/>
  <c r="J20" i="6"/>
  <c r="G19" i="42" s="1"/>
  <c r="D54" i="46"/>
  <c r="H19" i="42"/>
  <c r="E62" i="46"/>
  <c r="J58" i="46"/>
  <c r="F50" i="46"/>
  <c r="G50" i="46" s="1"/>
  <c r="H50" i="46" s="1"/>
  <c r="C17" i="34"/>
  <c r="C18" i="34"/>
  <c r="F39" i="14"/>
  <c r="F43" i="45"/>
  <c r="H36" i="45"/>
  <c r="E39" i="14"/>
  <c r="H111" i="45"/>
  <c r="H63" i="45"/>
  <c r="F31" i="6"/>
  <c r="D30" i="42"/>
  <c r="F34" i="6"/>
  <c r="D24" i="42"/>
  <c r="C24" i="42"/>
  <c r="F28" i="6"/>
  <c r="E27" i="6"/>
  <c r="H17" i="42"/>
  <c r="F51" i="46"/>
  <c r="D31" i="42"/>
  <c r="E31" i="42"/>
  <c r="F31" i="42"/>
  <c r="G31" i="42" s="1"/>
  <c r="G22" i="42" s="1"/>
  <c r="H36" i="6"/>
  <c r="G51" i="46"/>
  <c r="I36" i="6"/>
  <c r="H51" i="46"/>
  <c r="J36" i="6"/>
  <c r="I51" i="46"/>
  <c r="J51" i="46"/>
  <c r="P9" i="6"/>
  <c r="H37" i="14"/>
  <c r="D13" i="6"/>
  <c r="D24" i="6" s="1"/>
  <c r="D38" i="6" s="1"/>
  <c r="J13" i="46"/>
  <c r="I14" i="34"/>
  <c r="J11" i="46"/>
  <c r="J37" i="46"/>
  <c r="H13" i="42"/>
  <c r="J44" i="46"/>
  <c r="J29" i="46"/>
  <c r="H33" i="42"/>
  <c r="J12" i="46"/>
  <c r="H18" i="42"/>
  <c r="I6" i="34"/>
  <c r="J45" i="46"/>
  <c r="J54" i="46" s="1"/>
  <c r="H20" i="42"/>
  <c r="H16" i="42"/>
  <c r="H15" i="42" s="1"/>
  <c r="I7" i="34"/>
  <c r="J61" i="46"/>
  <c r="I5" i="34"/>
  <c r="H9" i="42"/>
  <c r="J11" i="6"/>
  <c r="G13" i="42" s="1"/>
  <c r="H13" i="3"/>
  <c r="E14" i="3"/>
  <c r="E13" i="16"/>
  <c r="G14" i="3"/>
  <c r="G13" i="16" s="1"/>
  <c r="H20" i="3"/>
  <c r="I20" i="3" s="1"/>
  <c r="I17" i="16" s="1"/>
  <c r="B36" i="47"/>
  <c r="D20" i="6"/>
  <c r="E20" i="6"/>
  <c r="D19" i="6"/>
  <c r="F19" i="6"/>
  <c r="G19" i="6" s="1"/>
  <c r="H19" i="6" s="1"/>
  <c r="E45" i="6"/>
  <c r="Q45" i="6"/>
  <c r="S13" i="6"/>
  <c r="I37" i="46"/>
  <c r="I45" i="46" s="1"/>
  <c r="G28" i="6"/>
  <c r="D8" i="47"/>
  <c r="H19" i="3"/>
  <c r="H18" i="3" s="1"/>
  <c r="D20" i="35"/>
  <c r="E24" i="6"/>
  <c r="D18" i="42"/>
  <c r="C18" i="42"/>
  <c r="D19" i="35"/>
  <c r="E19" i="35" s="1"/>
  <c r="G8" i="16"/>
  <c r="G16" i="16" s="1"/>
  <c r="F8" i="4"/>
  <c r="F33" i="4"/>
  <c r="F39" i="4" s="1"/>
  <c r="I17" i="46"/>
  <c r="E24" i="42"/>
  <c r="H85" i="45"/>
  <c r="H133" i="45"/>
  <c r="F21" i="5"/>
  <c r="B9" i="35"/>
  <c r="C9" i="35"/>
  <c r="D9" i="35" s="1"/>
  <c r="E9" i="35" s="1"/>
  <c r="F26" i="5"/>
  <c r="F24" i="5"/>
  <c r="F22" i="5"/>
  <c r="F20" i="5"/>
  <c r="F23" i="42" s="1"/>
  <c r="F18" i="5"/>
  <c r="E40" i="14" s="1"/>
  <c r="F40" i="14" s="1"/>
  <c r="D23" i="42"/>
  <c r="D22" i="42" s="1"/>
  <c r="F17" i="5"/>
  <c r="C23" i="42"/>
  <c r="C22" i="42" s="1"/>
  <c r="E37" i="14"/>
  <c r="H16" i="5"/>
  <c r="J17" i="46"/>
  <c r="D38" i="45"/>
  <c r="G38" i="45" s="1"/>
  <c r="C39" i="45" s="1"/>
  <c r="H28" i="6"/>
  <c r="H26" i="6"/>
  <c r="D40" i="6"/>
  <c r="D42" i="6" s="1"/>
  <c r="D47" i="6" s="1"/>
  <c r="A1" i="42"/>
  <c r="H13" i="14"/>
  <c r="E46" i="6"/>
  <c r="Q47" i="6" s="1"/>
  <c r="E8" i="3"/>
  <c r="F17" i="16"/>
  <c r="F45" i="6"/>
  <c r="F9" i="3"/>
  <c r="F16" i="16"/>
  <c r="F18" i="16"/>
  <c r="G6" i="3"/>
  <c r="H31" i="42"/>
  <c r="H22" i="42" s="1"/>
  <c r="F19" i="5"/>
  <c r="N33" i="4"/>
  <c r="N39" i="4"/>
  <c r="D32" i="35"/>
  <c r="C47" i="6"/>
  <c r="C46" i="6"/>
  <c r="F39" i="46"/>
  <c r="E23" i="42"/>
  <c r="E22" i="42" s="1"/>
  <c r="I19" i="6"/>
  <c r="F18" i="42" s="1"/>
  <c r="E18" i="42"/>
  <c r="J19" i="6"/>
  <c r="G18" i="42"/>
  <c r="I9" i="16"/>
  <c r="H9" i="16"/>
  <c r="G9" i="16"/>
  <c r="G17" i="16" s="1"/>
  <c r="H8" i="16"/>
  <c r="C40" i="47"/>
  <c r="B20" i="47"/>
  <c r="F47" i="47"/>
  <c r="G47" i="47" s="1"/>
  <c r="B31" i="35"/>
  <c r="G10" i="3"/>
  <c r="G23" i="3"/>
  <c r="H9" i="6" s="1"/>
  <c r="G12" i="46" s="1"/>
  <c r="G9" i="3"/>
  <c r="D10" i="47"/>
  <c r="E9" i="42"/>
  <c r="G13" i="46"/>
  <c r="F14" i="34" s="1"/>
  <c r="H22" i="6"/>
  <c r="J18" i="6"/>
  <c r="D17" i="5"/>
  <c r="G17" i="5" s="1"/>
  <c r="F5" i="5"/>
  <c r="C12" i="35"/>
  <c r="D12" i="35" s="1"/>
  <c r="S20" i="6"/>
  <c r="Q20" i="6"/>
  <c r="D45" i="6"/>
  <c r="S27" i="6"/>
  <c r="S40" i="6"/>
  <c r="D48" i="14"/>
  <c r="D46" i="6"/>
  <c r="D22" i="35" l="1"/>
  <c r="D18" i="35"/>
  <c r="D15" i="35"/>
  <c r="D63" i="47"/>
  <c r="C63" i="47"/>
  <c r="E20" i="35"/>
  <c r="D16" i="35"/>
  <c r="B7" i="35"/>
  <c r="D15" i="47" s="1"/>
  <c r="E12" i="35"/>
  <c r="I26" i="35"/>
  <c r="D17" i="35"/>
  <c r="E17" i="35" s="1"/>
  <c r="D30" i="35"/>
  <c r="E30" i="35" s="1"/>
  <c r="C14" i="47"/>
  <c r="C45" i="47" s="1"/>
  <c r="C67" i="47" s="1"/>
  <c r="F22" i="42"/>
  <c r="B11" i="35"/>
  <c r="D20" i="47" s="1"/>
  <c r="B14" i="47"/>
  <c r="B45" i="47" s="1"/>
  <c r="B67" i="47" s="1"/>
  <c r="D29" i="35"/>
  <c r="E29" i="35" s="1"/>
  <c r="E14" i="35"/>
  <c r="C8" i="35"/>
  <c r="C7" i="35" s="1"/>
  <c r="E26" i="35"/>
  <c r="E22" i="35"/>
  <c r="D35" i="35"/>
  <c r="E35" i="35" s="1"/>
  <c r="I25" i="35"/>
  <c r="E25" i="35" s="1"/>
  <c r="B33" i="35"/>
  <c r="D49" i="47" s="1"/>
  <c r="D48" i="47" s="1"/>
  <c r="C33" i="35"/>
  <c r="B27" i="35"/>
  <c r="D33" i="47" s="1"/>
  <c r="C23" i="35"/>
  <c r="D24" i="35"/>
  <c r="B23" i="35"/>
  <c r="D30" i="47" s="1"/>
  <c r="E21" i="35"/>
  <c r="C13" i="35"/>
  <c r="D9" i="42"/>
  <c r="G9" i="6"/>
  <c r="H10" i="3"/>
  <c r="H23" i="3"/>
  <c r="H8" i="3"/>
  <c r="H17" i="16"/>
  <c r="G11" i="46"/>
  <c r="G14" i="46" s="1"/>
  <c r="F10" i="16"/>
  <c r="I19" i="3"/>
  <c r="F8" i="3"/>
  <c r="E9" i="3"/>
  <c r="E23" i="3"/>
  <c r="C9" i="42" s="1"/>
  <c r="E8" i="47"/>
  <c r="E62" i="47" s="1"/>
  <c r="H16" i="16"/>
  <c r="H18" i="16" s="1"/>
  <c r="I18" i="34"/>
  <c r="I17" i="34"/>
  <c r="I19" i="34"/>
  <c r="E39" i="45"/>
  <c r="C18" i="5"/>
  <c r="D47" i="14"/>
  <c r="D46" i="14" s="1"/>
  <c r="D49" i="14" s="1"/>
  <c r="D60" i="14" s="1"/>
  <c r="J59" i="46"/>
  <c r="H28" i="46"/>
  <c r="G31" i="35"/>
  <c r="D36" i="47"/>
  <c r="E32" i="35"/>
  <c r="E31" i="35" s="1"/>
  <c r="D31" i="35"/>
  <c r="G18" i="16"/>
  <c r="I13" i="3"/>
  <c r="I14" i="3" s="1"/>
  <c r="I13" i="16" s="1"/>
  <c r="H14" i="3"/>
  <c r="H13" i="16" s="1"/>
  <c r="C58" i="47"/>
  <c r="C68" i="47" s="1"/>
  <c r="C17" i="42"/>
  <c r="C15" i="42" s="1"/>
  <c r="C34" i="42" s="1"/>
  <c r="F15" i="6"/>
  <c r="F24" i="6" s="1"/>
  <c r="D80" i="48"/>
  <c r="N22" i="48"/>
  <c r="O8" i="4"/>
  <c r="H14" i="14"/>
  <c r="C11" i="14"/>
  <c r="C33" i="14" s="1"/>
  <c r="C61" i="14" s="1"/>
  <c r="E74" i="46"/>
  <c r="E54" i="46"/>
  <c r="D14" i="34"/>
  <c r="E71" i="46"/>
  <c r="E14" i="46"/>
  <c r="D23" i="3"/>
  <c r="E10" i="3"/>
  <c r="F27" i="5"/>
  <c r="F6" i="5" s="1"/>
  <c r="F7" i="5" s="1"/>
  <c r="O10" i="4"/>
  <c r="N8" i="4"/>
  <c r="E34" i="35"/>
  <c r="C7" i="34"/>
  <c r="S24" i="6"/>
  <c r="Q24" i="6"/>
  <c r="J74" i="46"/>
  <c r="C23" i="34"/>
  <c r="D64" i="46"/>
  <c r="E135" i="45"/>
  <c r="D86" i="45"/>
  <c r="G86" i="45" s="1"/>
  <c r="C87" i="45" s="1"/>
  <c r="F32" i="6"/>
  <c r="E15" i="35"/>
  <c r="D28" i="35"/>
  <c r="C27" i="35"/>
  <c r="N78" i="48"/>
  <c r="H17" i="6"/>
  <c r="E17" i="42" s="1"/>
  <c r="H40" i="6"/>
  <c r="F25" i="4"/>
  <c r="F27" i="4" s="1"/>
  <c r="F43" i="4" s="1"/>
  <c r="I23" i="34"/>
  <c r="H34" i="42"/>
  <c r="D15" i="45"/>
  <c r="G15" i="45" s="1"/>
  <c r="E29" i="6"/>
  <c r="E26" i="6" s="1"/>
  <c r="D25" i="46"/>
  <c r="G20" i="46"/>
  <c r="H20" i="46" s="1"/>
  <c r="I20" i="46" s="1"/>
  <c r="J20" i="46" s="1"/>
  <c r="F25" i="46"/>
  <c r="E13" i="34" s="1"/>
  <c r="D62" i="47"/>
  <c r="D12" i="47"/>
  <c r="C27" i="42"/>
  <c r="F71" i="45"/>
  <c r="E16" i="35"/>
  <c r="E18" i="35"/>
  <c r="G8" i="4"/>
  <c r="H9" i="3"/>
  <c r="G18" i="46"/>
  <c r="F119" i="45"/>
  <c r="D64" i="45"/>
  <c r="G64" i="45" s="1"/>
  <c r="C65" i="45" s="1"/>
  <c r="C60" i="14"/>
  <c r="D33" i="14"/>
  <c r="D112" i="45"/>
  <c r="G112" i="45" s="1"/>
  <c r="C113" i="45" s="1"/>
  <c r="G33" i="6"/>
  <c r="F24" i="46"/>
  <c r="G24" i="46" s="1"/>
  <c r="H24" i="46" s="1"/>
  <c r="I24" i="46" s="1"/>
  <c r="J24" i="46" s="1"/>
  <c r="E25" i="46"/>
  <c r="D13" i="34" s="1"/>
  <c r="E11" i="14"/>
  <c r="E33" i="14" s="1"/>
  <c r="N80" i="48"/>
  <c r="K80" i="48"/>
  <c r="G80" i="48"/>
  <c r="N20" i="48"/>
  <c r="N8" i="48"/>
  <c r="O33" i="4"/>
  <c r="O39" i="4" s="1"/>
  <c r="C64" i="47" l="1"/>
  <c r="B58" i="47"/>
  <c r="B68" i="47" s="1"/>
  <c r="G33" i="35"/>
  <c r="E49" i="47"/>
  <c r="E48" i="47" s="1"/>
  <c r="D14" i="47"/>
  <c r="D64" i="47" s="1"/>
  <c r="D8" i="35"/>
  <c r="D7" i="35" s="1"/>
  <c r="D33" i="35"/>
  <c r="F49" i="47" s="1"/>
  <c r="F48" i="47" s="1"/>
  <c r="E33" i="35"/>
  <c r="G49" i="47" s="1"/>
  <c r="G48" i="47" s="1"/>
  <c r="D23" i="35"/>
  <c r="E24" i="35"/>
  <c r="E23" i="35" s="1"/>
  <c r="G30" i="47" s="1"/>
  <c r="B36" i="35"/>
  <c r="F21" i="6" s="1"/>
  <c r="G21" i="6" s="1"/>
  <c r="G23" i="35"/>
  <c r="E30" i="47"/>
  <c r="D13" i="35"/>
  <c r="C11" i="35"/>
  <c r="C36" i="35" s="1"/>
  <c r="G36" i="35" s="1"/>
  <c r="F8" i="47"/>
  <c r="F62" i="47" s="1"/>
  <c r="F9" i="42"/>
  <c r="I9" i="6"/>
  <c r="I18" i="3"/>
  <c r="I16" i="16"/>
  <c r="I18" i="16" s="1"/>
  <c r="F11" i="46"/>
  <c r="F12" i="46"/>
  <c r="G22" i="6"/>
  <c r="G17" i="6"/>
  <c r="D17" i="42" s="1"/>
  <c r="G40" i="6"/>
  <c r="R9" i="6"/>
  <c r="K14" i="14"/>
  <c r="F13" i="14"/>
  <c r="F11" i="14" s="1"/>
  <c r="F33" i="14" s="1"/>
  <c r="F13" i="46"/>
  <c r="E14" i="34" s="1"/>
  <c r="G25" i="4"/>
  <c r="G27" i="4"/>
  <c r="C16" i="45"/>
  <c r="E48" i="14"/>
  <c r="I31" i="35"/>
  <c r="G36" i="47"/>
  <c r="E87" i="45"/>
  <c r="O25" i="4"/>
  <c r="O27" i="4"/>
  <c r="O43" i="4" s="1"/>
  <c r="F10" i="47"/>
  <c r="H11" i="6"/>
  <c r="H10" i="16"/>
  <c r="D61" i="14"/>
  <c r="D52" i="14"/>
  <c r="G25" i="46"/>
  <c r="H18" i="46"/>
  <c r="D66" i="47"/>
  <c r="C13" i="34"/>
  <c r="D32" i="46"/>
  <c r="G29" i="46"/>
  <c r="G30" i="46" s="1"/>
  <c r="E33" i="42"/>
  <c r="G44" i="46"/>
  <c r="E28" i="35"/>
  <c r="E27" i="35" s="1"/>
  <c r="D27" i="35"/>
  <c r="E64" i="46"/>
  <c r="D23" i="34"/>
  <c r="G10" i="16"/>
  <c r="G11" i="6"/>
  <c r="E10" i="47"/>
  <c r="I28" i="46"/>
  <c r="E18" i="5"/>
  <c r="H30" i="6"/>
  <c r="D39" i="45"/>
  <c r="G39" i="45" s="1"/>
  <c r="C40" i="45" s="1"/>
  <c r="E65" i="45"/>
  <c r="G7" i="35"/>
  <c r="E15" i="47"/>
  <c r="E113" i="45"/>
  <c r="G27" i="35"/>
  <c r="E33" i="47"/>
  <c r="N25" i="4"/>
  <c r="N27" i="4"/>
  <c r="N43" i="4" s="1"/>
  <c r="Q26" i="6"/>
  <c r="S26" i="6"/>
  <c r="E38" i="6"/>
  <c r="D135" i="45"/>
  <c r="G135" i="45" s="1"/>
  <c r="G34" i="6"/>
  <c r="E32" i="46"/>
  <c r="D17" i="34"/>
  <c r="D18" i="34"/>
  <c r="D19" i="34"/>
  <c r="F46" i="6"/>
  <c r="D9" i="34"/>
  <c r="D7" i="34"/>
  <c r="H31" i="35"/>
  <c r="F36" i="47"/>
  <c r="E8" i="35" l="1"/>
  <c r="E7" i="35" s="1"/>
  <c r="G15" i="47" s="1"/>
  <c r="D45" i="47"/>
  <c r="D67" i="47" s="1"/>
  <c r="H33" i="35"/>
  <c r="I23" i="35"/>
  <c r="I33" i="35"/>
  <c r="C20" i="42"/>
  <c r="F30" i="47"/>
  <c r="H23" i="35"/>
  <c r="E20" i="47"/>
  <c r="E14" i="47" s="1"/>
  <c r="E64" i="47" s="1"/>
  <c r="G11" i="35"/>
  <c r="D11" i="35"/>
  <c r="D36" i="35" s="1"/>
  <c r="H36" i="35" s="1"/>
  <c r="E13" i="35"/>
  <c r="E11" i="35" s="1"/>
  <c r="I10" i="3"/>
  <c r="I9" i="3"/>
  <c r="I23" i="3"/>
  <c r="F29" i="46"/>
  <c r="F30" i="46" s="1"/>
  <c r="D33" i="42"/>
  <c r="F44" i="46"/>
  <c r="F14" i="46"/>
  <c r="H11" i="46"/>
  <c r="H14" i="46" s="1"/>
  <c r="I17" i="6"/>
  <c r="F17" i="42" s="1"/>
  <c r="I40" i="6"/>
  <c r="H12" i="46"/>
  <c r="I22" i="6"/>
  <c r="H13" i="46"/>
  <c r="G14" i="34" s="1"/>
  <c r="I11" i="6"/>
  <c r="I10" i="16"/>
  <c r="G10" i="47"/>
  <c r="G63" i="47" s="1"/>
  <c r="I8" i="3"/>
  <c r="J28" i="46"/>
  <c r="J30" i="46" s="1"/>
  <c r="F13" i="34"/>
  <c r="G32" i="46"/>
  <c r="F63" i="47"/>
  <c r="F12" i="47"/>
  <c r="G32" i="6"/>
  <c r="D87" i="45"/>
  <c r="G87" i="45" s="1"/>
  <c r="C88" i="45" s="1"/>
  <c r="G31" i="6"/>
  <c r="D65" i="45"/>
  <c r="G65" i="45" s="1"/>
  <c r="C66" i="45" s="1"/>
  <c r="E63" i="47"/>
  <c r="E12" i="47"/>
  <c r="E16" i="45"/>
  <c r="D18" i="5"/>
  <c r="G18" i="5" s="1"/>
  <c r="F27" i="6"/>
  <c r="F26" i="6" s="1"/>
  <c r="F37" i="46"/>
  <c r="F45" i="46" s="1"/>
  <c r="D13" i="42"/>
  <c r="G13" i="6"/>
  <c r="F38" i="14"/>
  <c r="H27" i="35"/>
  <c r="F33" i="47"/>
  <c r="D56" i="47"/>
  <c r="D58" i="47" s="1"/>
  <c r="D68" i="47" s="1"/>
  <c r="G43" i="4"/>
  <c r="G16" i="6"/>
  <c r="S38" i="6"/>
  <c r="Q38" i="6"/>
  <c r="E42" i="6"/>
  <c r="H7" i="35"/>
  <c r="F15" i="47"/>
  <c r="D113" i="45"/>
  <c r="G113" i="45" s="1"/>
  <c r="C114" i="45" s="1"/>
  <c r="H33" i="6"/>
  <c r="D20" i="42"/>
  <c r="H21" i="6"/>
  <c r="D12" i="34"/>
  <c r="E66" i="46"/>
  <c r="C136" i="45"/>
  <c r="F49" i="46"/>
  <c r="E40" i="45"/>
  <c r="D22" i="34"/>
  <c r="I27" i="35"/>
  <c r="G33" i="47"/>
  <c r="C12" i="34"/>
  <c r="D66" i="46"/>
  <c r="C22" i="34"/>
  <c r="C9" i="34"/>
  <c r="H25" i="46"/>
  <c r="I18" i="46"/>
  <c r="H13" i="6"/>
  <c r="E13" i="42"/>
  <c r="G37" i="46"/>
  <c r="G45" i="46" s="1"/>
  <c r="I7" i="35" l="1"/>
  <c r="I11" i="35"/>
  <c r="G20" i="47"/>
  <c r="G14" i="47" s="1"/>
  <c r="F20" i="47"/>
  <c r="F14" i="47" s="1"/>
  <c r="F64" i="47" s="1"/>
  <c r="H11" i="35"/>
  <c r="E36" i="35"/>
  <c r="I36" i="35" s="1"/>
  <c r="F32" i="46"/>
  <c r="E12" i="34" s="1"/>
  <c r="G9" i="42"/>
  <c r="G8" i="47"/>
  <c r="J9" i="6"/>
  <c r="F13" i="42"/>
  <c r="I13" i="6"/>
  <c r="H37" i="46"/>
  <c r="H45" i="46" s="1"/>
  <c r="G18" i="34" s="1"/>
  <c r="H29" i="46"/>
  <c r="H30" i="46" s="1"/>
  <c r="F33" i="42"/>
  <c r="H44" i="46"/>
  <c r="G19" i="34"/>
  <c r="C19" i="5"/>
  <c r="E47" i="14"/>
  <c r="E46" i="14" s="1"/>
  <c r="E49" i="14" s="1"/>
  <c r="E88" i="45"/>
  <c r="J18" i="46"/>
  <c r="J25" i="46" s="1"/>
  <c r="I25" i="46"/>
  <c r="H13" i="34" s="1"/>
  <c r="I30" i="6"/>
  <c r="D40" i="45"/>
  <c r="G40" i="45" s="1"/>
  <c r="D16" i="42"/>
  <c r="D15" i="42" s="1"/>
  <c r="D34" i="42" s="1"/>
  <c r="G15" i="6"/>
  <c r="R15" i="6" s="1"/>
  <c r="H16" i="6"/>
  <c r="E19" i="34"/>
  <c r="E18" i="34"/>
  <c r="E17" i="34"/>
  <c r="F66" i="47"/>
  <c r="E6" i="34"/>
  <c r="G45" i="6"/>
  <c r="D16" i="45"/>
  <c r="G16" i="45" s="1"/>
  <c r="F29" i="6"/>
  <c r="F12" i="34"/>
  <c r="F18" i="34"/>
  <c r="F17" i="34"/>
  <c r="F19" i="34"/>
  <c r="E66" i="45"/>
  <c r="G13" i="34"/>
  <c r="H32" i="46"/>
  <c r="E114" i="45"/>
  <c r="H45" i="6"/>
  <c r="F6" i="34"/>
  <c r="E136" i="45"/>
  <c r="I21" i="6"/>
  <c r="E20" i="42"/>
  <c r="E47" i="6"/>
  <c r="Q49" i="6" s="1"/>
  <c r="C8" i="34"/>
  <c r="Q42" i="6"/>
  <c r="S42" i="6"/>
  <c r="C5" i="34"/>
  <c r="F37" i="14"/>
  <c r="K37" i="14"/>
  <c r="F42" i="6"/>
  <c r="F38" i="6"/>
  <c r="F41" i="6" s="1"/>
  <c r="E66" i="47"/>
  <c r="E45" i="47"/>
  <c r="G17" i="34" l="1"/>
  <c r="G24" i="6"/>
  <c r="E9" i="34" s="1"/>
  <c r="G64" i="47"/>
  <c r="G62" i="47"/>
  <c r="G12" i="47"/>
  <c r="G6" i="34"/>
  <c r="I45" i="6"/>
  <c r="I12" i="46"/>
  <c r="I13" i="46"/>
  <c r="H14" i="34" s="1"/>
  <c r="J13" i="6"/>
  <c r="J17" i="6"/>
  <c r="G17" i="42" s="1"/>
  <c r="J40" i="6"/>
  <c r="J22" i="6"/>
  <c r="I11" i="46"/>
  <c r="I14" i="46" s="1"/>
  <c r="D5" i="34"/>
  <c r="E55" i="14"/>
  <c r="F47" i="6"/>
  <c r="D8" i="34"/>
  <c r="H34" i="6"/>
  <c r="D136" i="45"/>
  <c r="G136" i="45" s="1"/>
  <c r="E19" i="5"/>
  <c r="I16" i="6"/>
  <c r="E16" i="42"/>
  <c r="E15" i="42" s="1"/>
  <c r="E34" i="42" s="1"/>
  <c r="H15" i="6"/>
  <c r="H24" i="6" s="1"/>
  <c r="C17" i="45"/>
  <c r="F48" i="14"/>
  <c r="I33" i="6"/>
  <c r="D114" i="45"/>
  <c r="G114" i="45" s="1"/>
  <c r="C115" i="45" s="1"/>
  <c r="F45" i="47"/>
  <c r="I13" i="34"/>
  <c r="J32" i="46"/>
  <c r="E67" i="47"/>
  <c r="E56" i="47"/>
  <c r="E58" i="47" s="1"/>
  <c r="E68" i="47" s="1"/>
  <c r="J21" i="6"/>
  <c r="G20" i="42" s="1"/>
  <c r="F20" i="42"/>
  <c r="G12" i="34"/>
  <c r="D66" i="45"/>
  <c r="G66" i="45" s="1"/>
  <c r="H31" i="6"/>
  <c r="E7" i="34"/>
  <c r="H32" i="6"/>
  <c r="D88" i="45"/>
  <c r="G88" i="45" s="1"/>
  <c r="G46" i="6" l="1"/>
  <c r="H6" i="34"/>
  <c r="J45" i="6"/>
  <c r="H18" i="34"/>
  <c r="H17" i="34"/>
  <c r="H19" i="34"/>
  <c r="G45" i="47"/>
  <c r="G66" i="47"/>
  <c r="I44" i="46"/>
  <c r="I29" i="46"/>
  <c r="I30" i="46" s="1"/>
  <c r="I32" i="46" s="1"/>
  <c r="H12" i="34" s="1"/>
  <c r="G33" i="42"/>
  <c r="F56" i="47"/>
  <c r="F68" i="47" s="1"/>
  <c r="F67" i="47"/>
  <c r="E17" i="45"/>
  <c r="J16" i="6"/>
  <c r="F16" i="42"/>
  <c r="F15" i="42" s="1"/>
  <c r="F34" i="42" s="1"/>
  <c r="I15" i="6"/>
  <c r="I24" i="6" s="1"/>
  <c r="G49" i="46"/>
  <c r="G52" i="46" s="1"/>
  <c r="C137" i="45"/>
  <c r="F54" i="14"/>
  <c r="F58" i="14" s="1"/>
  <c r="E58" i="14"/>
  <c r="E60" i="14" s="1"/>
  <c r="E61" i="14" s="1"/>
  <c r="E115" i="45"/>
  <c r="D19" i="5"/>
  <c r="G19" i="5" s="1"/>
  <c r="G27" i="6"/>
  <c r="G26" i="6" s="1"/>
  <c r="I12" i="34"/>
  <c r="I9" i="34"/>
  <c r="I22" i="34"/>
  <c r="F7" i="34"/>
  <c r="H46" i="6"/>
  <c r="F9" i="34"/>
  <c r="H38" i="6"/>
  <c r="H41" i="6" s="1"/>
  <c r="H42" i="6"/>
  <c r="E52" i="14"/>
  <c r="G67" i="47" l="1"/>
  <c r="G56" i="47"/>
  <c r="G58" i="47" s="1"/>
  <c r="G68" i="47" s="1"/>
  <c r="I46" i="6"/>
  <c r="G7" i="34"/>
  <c r="G9" i="34"/>
  <c r="G38" i="6"/>
  <c r="G41" i="6" s="1"/>
  <c r="G42" i="6"/>
  <c r="E137" i="45"/>
  <c r="J15" i="6"/>
  <c r="J24" i="6" s="1"/>
  <c r="G16" i="42"/>
  <c r="G15" i="42" s="1"/>
  <c r="G34" i="42" s="1"/>
  <c r="H47" i="6"/>
  <c r="G61" i="46"/>
  <c r="F5" i="34"/>
  <c r="F47" i="14"/>
  <c r="F46" i="14" s="1"/>
  <c r="F49" i="14" s="1"/>
  <c r="F60" i="14" s="1"/>
  <c r="F61" i="14" s="1"/>
  <c r="C20" i="5"/>
  <c r="F48" i="46"/>
  <c r="F52" i="46" s="1"/>
  <c r="D115" i="45"/>
  <c r="G115" i="45" s="1"/>
  <c r="J33" i="6"/>
  <c r="G54" i="46"/>
  <c r="G74" i="46"/>
  <c r="G29" i="6"/>
  <c r="D17" i="45"/>
  <c r="G17" i="45" s="1"/>
  <c r="E5" i="34" l="1"/>
  <c r="F55" i="14"/>
  <c r="F52" i="14" s="1"/>
  <c r="F61" i="46"/>
  <c r="G47" i="6"/>
  <c r="F22" i="34"/>
  <c r="F23" i="34"/>
  <c r="E20" i="5"/>
  <c r="D20" i="5" s="1"/>
  <c r="G20" i="5" s="1"/>
  <c r="C21" i="5" s="1"/>
  <c r="H7" i="34"/>
  <c r="J46" i="6"/>
  <c r="H9" i="34"/>
  <c r="F54" i="46"/>
  <c r="F74" i="46"/>
  <c r="I34" i="6"/>
  <c r="I26" i="6" s="1"/>
  <c r="D137" i="45"/>
  <c r="G137" i="45" s="1"/>
  <c r="E21" i="5" l="1"/>
  <c r="D21" i="5" s="1"/>
  <c r="G21" i="5" s="1"/>
  <c r="C22" i="5" s="1"/>
  <c r="I38" i="6"/>
  <c r="I41" i="6" s="1"/>
  <c r="I42" i="6"/>
  <c r="F62" i="46"/>
  <c r="E8" i="34" s="1"/>
  <c r="G60" i="46"/>
  <c r="E22" i="34"/>
  <c r="E23" i="34"/>
  <c r="C138" i="45"/>
  <c r="H49" i="46"/>
  <c r="H52" i="46" s="1"/>
  <c r="F64" i="46" l="1"/>
  <c r="F66" i="46" s="1"/>
  <c r="E22" i="5"/>
  <c r="D22" i="5" s="1"/>
  <c r="G22" i="5" s="1"/>
  <c r="C23" i="5" s="1"/>
  <c r="H54" i="46"/>
  <c r="H74" i="46"/>
  <c r="E138" i="45"/>
  <c r="H60" i="46"/>
  <c r="G62" i="46"/>
  <c r="H61" i="46"/>
  <c r="I47" i="6"/>
  <c r="G5" i="34"/>
  <c r="G22" i="34" l="1"/>
  <c r="G23" i="34"/>
  <c r="E23" i="5"/>
  <c r="D23" i="5" s="1"/>
  <c r="G23" i="5" s="1"/>
  <c r="C24" i="5" s="1"/>
  <c r="F8" i="34"/>
  <c r="G64" i="46"/>
  <c r="G66" i="46" s="1"/>
  <c r="I60" i="46"/>
  <c r="H62" i="46"/>
  <c r="G8" i="34" s="1"/>
  <c r="D138" i="45"/>
  <c r="G138" i="45" s="1"/>
  <c r="J34" i="6"/>
  <c r="J26" i="6" s="1"/>
  <c r="H64" i="46" l="1"/>
  <c r="H66" i="46" s="1"/>
  <c r="E24" i="5"/>
  <c r="D24" i="5" s="1"/>
  <c r="G24" i="5" s="1"/>
  <c r="C25" i="5" s="1"/>
  <c r="I49" i="46"/>
  <c r="I52" i="46" s="1"/>
  <c r="C139" i="45"/>
  <c r="I62" i="46"/>
  <c r="J42" i="6"/>
  <c r="J38" i="6"/>
  <c r="J41" i="6" s="1"/>
  <c r="I54" i="46" l="1"/>
  <c r="I74" i="46"/>
  <c r="E25" i="5"/>
  <c r="D25" i="5" s="1"/>
  <c r="G25" i="5" s="1"/>
  <c r="C26" i="5" s="1"/>
  <c r="E139" i="45"/>
  <c r="D139" i="45" s="1"/>
  <c r="G139" i="45"/>
  <c r="J47" i="6"/>
  <c r="I61" i="46"/>
  <c r="J60" i="46" s="1"/>
  <c r="J62" i="46" s="1"/>
  <c r="H8" i="34"/>
  <c r="H5" i="34"/>
  <c r="E26" i="5" l="1"/>
  <c r="D26" i="5" s="1"/>
  <c r="G26" i="5" s="1"/>
  <c r="I8" i="34"/>
  <c r="J64" i="46"/>
  <c r="J66" i="46" s="1"/>
  <c r="H22" i="34"/>
  <c r="I64" i="46"/>
  <c r="I66" i="46" s="1"/>
  <c r="H2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Zapata</author>
    <author>Administrador</author>
  </authors>
  <commentList>
    <comment ref="G27" authorId="0" shapeId="0" xr:uid="{AFCBA668-6D66-43FB-8896-65E152A6B65D}">
      <text>
        <r>
          <rPr>
            <b/>
            <sz val="8"/>
            <color indexed="81"/>
            <rFont val="Tahoma"/>
            <family val="2"/>
          </rPr>
          <t>Oscar Zapata:</t>
        </r>
        <r>
          <rPr>
            <sz val="8"/>
            <color indexed="81"/>
            <rFont val="Tahoma"/>
            <family val="2"/>
          </rPr>
          <t xml:space="preserve">
Este total esta bien?, porque es significativamente mas grande que el pasado</t>
        </r>
      </text>
    </comment>
    <comment ref="O27" authorId="0" shapeId="0" xr:uid="{92E8A0E4-2F06-4523-8EEA-5B0A99559C20}">
      <text>
        <r>
          <rPr>
            <b/>
            <sz val="8"/>
            <color indexed="81"/>
            <rFont val="Tahoma"/>
            <family val="2"/>
          </rPr>
          <t>Oscar Zapata:</t>
        </r>
        <r>
          <rPr>
            <sz val="8"/>
            <color indexed="81"/>
            <rFont val="Tahoma"/>
            <family val="2"/>
          </rPr>
          <t xml:space="preserve">
Este total esta bien?, porque es significativamente mas grande que el pasado</t>
        </r>
      </text>
    </comment>
    <comment ref="A30" authorId="1" shapeId="0" xr:uid="{B5139850-55D1-428B-A067-4BDD9BBBBC88}">
      <text>
        <r>
          <rPr>
            <b/>
            <sz val="8"/>
            <color indexed="81"/>
            <rFont val="Tahoma"/>
            <family val="2"/>
          </rPr>
          <t>Administrador:</t>
        </r>
        <r>
          <rPr>
            <sz val="8"/>
            <color indexed="81"/>
            <rFont val="Tahoma"/>
            <family val="2"/>
          </rPr>
          <t xml:space="preserve">
Se necesita algun personal que no se haya incluido aquí?, algunos salarios son relativamente altos</t>
        </r>
      </text>
    </comment>
    <comment ref="I30" authorId="1" shapeId="0" xr:uid="{9835B165-614A-4455-A961-87BC989228B3}">
      <text>
        <r>
          <rPr>
            <b/>
            <sz val="8"/>
            <color indexed="81"/>
            <rFont val="Tahoma"/>
            <family val="2"/>
          </rPr>
          <t>Administrador:</t>
        </r>
        <r>
          <rPr>
            <sz val="8"/>
            <color indexed="81"/>
            <rFont val="Tahoma"/>
            <family val="2"/>
          </rPr>
          <t xml:space="preserve">
Se necesita algun personal que no se haya incluido aquí?, algunos salarios son relativamente altos</t>
        </r>
      </text>
    </comment>
  </commentList>
</comments>
</file>

<file path=xl/sharedStrings.xml><?xml version="1.0" encoding="utf-8"?>
<sst xmlns="http://schemas.openxmlformats.org/spreadsheetml/2006/main" count="790" uniqueCount="450">
  <si>
    <t>TOTAL</t>
  </si>
  <si>
    <t>MAS</t>
  </si>
  <si>
    <t>Personal</t>
  </si>
  <si>
    <t>No. de Empleados</t>
  </si>
  <si>
    <t>Cuentas</t>
  </si>
  <si>
    <t>Activos Corrientes</t>
  </si>
  <si>
    <t>TOTAL DE ACTIVOS</t>
  </si>
  <si>
    <t>Pasivos Corrientes</t>
  </si>
  <si>
    <t>Pasivos de largo plazo</t>
  </si>
  <si>
    <t>Capital social</t>
  </si>
  <si>
    <t>TOTAL DE PASIVOS Y CAPITAL</t>
  </si>
  <si>
    <t>Sueldo Total</t>
  </si>
  <si>
    <t xml:space="preserve"> </t>
  </si>
  <si>
    <t>CAPITAL</t>
  </si>
  <si>
    <t>TOTAL DE PASIVOS</t>
  </si>
  <si>
    <t>TOTAL DE CAPITAL</t>
  </si>
  <si>
    <t>UAII</t>
  </si>
  <si>
    <t>Prestaciones sociales  (30%)</t>
  </si>
  <si>
    <t>Utilidades del  periodo</t>
  </si>
  <si>
    <t>Actividad</t>
  </si>
  <si>
    <t>Rotacion de Activos</t>
  </si>
  <si>
    <t>Dias en cuentas x Cobrar</t>
  </si>
  <si>
    <t>Liquidez y apalancamiente</t>
  </si>
  <si>
    <t>Razon Circulante</t>
  </si>
  <si>
    <t>Prueba del Acido</t>
  </si>
  <si>
    <t>Apalancamiento</t>
  </si>
  <si>
    <t>Razon de Apalancamiento</t>
  </si>
  <si>
    <t>Total</t>
  </si>
  <si>
    <t>FINACIAMIENTO</t>
  </si>
  <si>
    <t>TOTALES</t>
  </si>
  <si>
    <t>Sueldo por Empleado</t>
  </si>
  <si>
    <t>PERSONAL CON SUELDO</t>
  </si>
  <si>
    <t>SERVICIOS PROFESIONALES</t>
  </si>
  <si>
    <t>Pago por Servicios</t>
  </si>
  <si>
    <t>Unitario</t>
  </si>
  <si>
    <t>diferencia temporal</t>
  </si>
  <si>
    <t>Eqipo Industrial</t>
  </si>
  <si>
    <t>Eqipo de Computadora</t>
  </si>
  <si>
    <t>Eqipo de Oficina</t>
  </si>
  <si>
    <t>Mejoras al local arrendado</t>
  </si>
  <si>
    <t>Otros</t>
  </si>
  <si>
    <t>Depositos de Garantia</t>
  </si>
  <si>
    <t>Utilidades retenidas</t>
  </si>
  <si>
    <t>Asistente de contabilidad</t>
  </si>
  <si>
    <t>Secretaria recepcionista</t>
  </si>
  <si>
    <t>Gerente Adm.</t>
  </si>
  <si>
    <t>Gerente General</t>
  </si>
  <si>
    <t>Sup. Saneamiento</t>
  </si>
  <si>
    <t>Asistente Supervisor</t>
  </si>
  <si>
    <t>Operarios Limpieza</t>
  </si>
  <si>
    <t>Mensajero</t>
  </si>
  <si>
    <t>Demostradoras</t>
  </si>
  <si>
    <t>Aseador Miscelaneo</t>
  </si>
  <si>
    <t>Tasa =</t>
  </si>
  <si>
    <t>DIFERENCIA</t>
  </si>
  <si>
    <t>Retenciones por Pagar-C.S.S</t>
  </si>
  <si>
    <t>ITBMS por pagar</t>
  </si>
  <si>
    <t>Hoja</t>
  </si>
  <si>
    <t>&lt;&lt;Contenido</t>
  </si>
  <si>
    <t>Leasing 1(Banco Aliado)</t>
  </si>
  <si>
    <t>Leasing 2 (Banco Aliado-Llenadora de Liquido)</t>
  </si>
  <si>
    <t>(Leasing 1 ) Banco Aliado</t>
  </si>
  <si>
    <t>(Leasing 2 ) Banco Aliado</t>
  </si>
  <si>
    <t>*este leasing se obtuvo en Nov del 2006</t>
  </si>
  <si>
    <t>*este leasing se obtuvo en Abr del 2007</t>
  </si>
  <si>
    <t>Leasing 3(Banco Aliado)</t>
  </si>
  <si>
    <t>Leasing 4(Banco Aliado)</t>
  </si>
  <si>
    <t>Articulos de Limpieza</t>
  </si>
  <si>
    <t>Servicios Profesionales</t>
  </si>
  <si>
    <t>Reservas de cuentas malas</t>
  </si>
  <si>
    <t>*este leasing se obtuvo en Oct del 2006</t>
  </si>
  <si>
    <t>(Leasing 3 ) Banco Aliado</t>
  </si>
  <si>
    <t>(Leasing 4 ) Banco Aliado</t>
  </si>
  <si>
    <t>(Leasing 5 ) Banco Aliado</t>
  </si>
  <si>
    <t>Leasing 5(Banco Aliado)</t>
  </si>
  <si>
    <t>Leasing 6(Banco General)</t>
  </si>
  <si>
    <t>Leasing 1</t>
  </si>
  <si>
    <t>Leasing 2</t>
  </si>
  <si>
    <t>Leasing 3</t>
  </si>
  <si>
    <t>Leasing 4</t>
  </si>
  <si>
    <t>Leasing 5</t>
  </si>
  <si>
    <t>Leasing 6</t>
  </si>
  <si>
    <t>SUQUIMSA</t>
  </si>
  <si>
    <t>(EN BALBOAS)</t>
  </si>
  <si>
    <t>ACTIVOS</t>
  </si>
  <si>
    <t>CORRIENTES</t>
  </si>
  <si>
    <t>Total de Activos Corrientes</t>
  </si>
  <si>
    <t>Mejoras a la Propieda Arrendada</t>
  </si>
  <si>
    <t>OTROS ACTIVOS</t>
  </si>
  <si>
    <t>Deposito de Garantia Local</t>
  </si>
  <si>
    <t>Total de Otros Activos</t>
  </si>
  <si>
    <t>Banco Aliado Leasing (Circulante)</t>
  </si>
  <si>
    <t>Banco General Leasing (Circulante)</t>
  </si>
  <si>
    <t>Total de Pasivos Corrientes</t>
  </si>
  <si>
    <t>LARGO PLAZO</t>
  </si>
  <si>
    <t>Banco General Leasing</t>
  </si>
  <si>
    <t>Banco Aliado Leasing</t>
  </si>
  <si>
    <t>Capital Pagado</t>
  </si>
  <si>
    <t>CALCULOS</t>
  </si>
  <si>
    <t>(Leasing 6 ) Banco General</t>
  </si>
  <si>
    <t>Aporte Pagado Accionista (Capital Pagado Exceso)</t>
  </si>
  <si>
    <t>Propiedad Galera</t>
  </si>
  <si>
    <t>Deuda/Capital</t>
  </si>
  <si>
    <t>a capitalizar =</t>
  </si>
  <si>
    <t>Contador</t>
  </si>
  <si>
    <t>Deuda sobre capital</t>
  </si>
  <si>
    <t>ACTUAL</t>
  </si>
  <si>
    <t>Salario y beneficios a los empleados</t>
  </si>
  <si>
    <t>Prestaciones laborales</t>
  </si>
  <si>
    <t>Comunicaciones</t>
  </si>
  <si>
    <t>Luz</t>
  </si>
  <si>
    <t>Utiles de Oficina y Computo</t>
  </si>
  <si>
    <t>Corriente</t>
  </si>
  <si>
    <t>Diferido</t>
  </si>
  <si>
    <t>Diferencia en cambio de tasa</t>
  </si>
  <si>
    <t>Ganancia neta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</si>
  <si>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</si>
  <si>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</si>
  <si>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</si>
  <si>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</si>
  <si>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</si>
  <si>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</si>
  <si>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</si>
  <si>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</si>
  <si>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</si>
  <si>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</si>
  <si>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</si>
  <si>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</si>
  <si>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Revenues</t>
  </si>
  <si>
    <t>Total Revenues</t>
  </si>
  <si>
    <t/>
  </si>
  <si>
    <t>Cost of Sales</t>
  </si>
  <si>
    <t>Limpieza Carnicerias</t>
  </si>
  <si>
    <t>Entrega de Mercancias</t>
  </si>
  <si>
    <t>Total Cost of Sales</t>
  </si>
  <si>
    <t>Gross Profit</t>
  </si>
  <si>
    <t>Expenses</t>
  </si>
  <si>
    <t>Vacaciones</t>
  </si>
  <si>
    <t>Prima de Antiguedad</t>
  </si>
  <si>
    <t>Multas y Recargos</t>
  </si>
  <si>
    <t>Seguro Social Patronal</t>
  </si>
  <si>
    <t>Seguro Educativo Patronal</t>
  </si>
  <si>
    <t>Riesgos Profesionales Patronal</t>
  </si>
  <si>
    <t>Cargos Bancarios</t>
  </si>
  <si>
    <t>Tasa Unica</t>
  </si>
  <si>
    <t>Suscripciones y  Afiliaciones</t>
  </si>
  <si>
    <t>Acarreo y Fletes</t>
  </si>
  <si>
    <t>Aseo y Limpieza</t>
  </si>
  <si>
    <t>Seguro Generales</t>
  </si>
  <si>
    <t>Utiles de Oficina</t>
  </si>
  <si>
    <t>Mantenimiendo de Local</t>
  </si>
  <si>
    <t>Seminarios,Eventos,Publicacion</t>
  </si>
  <si>
    <t>Alarmas, Seguridad, Vigilancia</t>
  </si>
  <si>
    <t>Limpieza Area Verde</t>
  </si>
  <si>
    <t>Licencia Comercial</t>
  </si>
  <si>
    <t>Servicios Mensajeria</t>
  </si>
  <si>
    <t>Cafeteria</t>
  </si>
  <si>
    <t>Tasa de Aseo</t>
  </si>
  <si>
    <t>Timbres</t>
  </si>
  <si>
    <t>Arreglos de Oficina</t>
  </si>
  <si>
    <t>Total Expenses</t>
  </si>
  <si>
    <t>Net Income</t>
  </si>
  <si>
    <t>utiles de oficina</t>
  </si>
  <si>
    <t>arreglos de oficina</t>
  </si>
  <si>
    <t>Seguro generales</t>
  </si>
  <si>
    <t>EBITDA</t>
  </si>
  <si>
    <t>YTD</t>
  </si>
  <si>
    <t>Contents</t>
  </si>
  <si>
    <t>Historical Statements and Financial Projections</t>
  </si>
  <si>
    <t>Summary of recent years, projections, and objectives</t>
  </si>
  <si>
    <t>Description</t>
  </si>
  <si>
    <t>Financial Objectives</t>
  </si>
  <si>
    <t>Revenue</t>
  </si>
  <si>
    <t>Costs</t>
  </si>
  <si>
    <t>Table to calculate compound interest for an amount, rate, and loan term</t>
  </si>
  <si>
    <t>Historical and Projected Income Statements</t>
  </si>
  <si>
    <t>Balance Sheet</t>
  </si>
  <si>
    <t>Historical and Projected Balance Sheets</t>
  </si>
  <si>
    <t>Ratios</t>
  </si>
  <si>
    <t>Financial Ratios for Profitability, Activity, and Leverage</t>
  </si>
  <si>
    <t>INCOME STATEMENT</t>
  </si>
  <si>
    <t>HISTORICALS</t>
  </si>
  <si>
    <t>PROJECTEDS</t>
  </si>
  <si>
    <t>PROJECTED</t>
  </si>
  <si>
    <t>PERCENTAGE</t>
  </si>
  <si>
    <t>Years of Operations</t>
  </si>
  <si>
    <t>SALES</t>
  </si>
  <si>
    <t>COST OF SALES</t>
  </si>
  <si>
    <t>GROSS PROFIT</t>
  </si>
  <si>
    <t>ADMINISTRATIVE AND GENERAL EXPENSES</t>
  </si>
  <si>
    <t>Sales commission</t>
  </si>
  <si>
    <t>Depreciation  Equipments (1)</t>
  </si>
  <si>
    <t>Common administrative expenses</t>
  </si>
  <si>
    <t>Marketing and advertising expenses (2)</t>
  </si>
  <si>
    <t>Other expenses</t>
  </si>
  <si>
    <t>INTEREST</t>
  </si>
  <si>
    <t>Financia Loan 1 (2005 NO es Financia)</t>
  </si>
  <si>
    <t>Loan Financing 2</t>
  </si>
  <si>
    <t>Factoring commissions</t>
  </si>
  <si>
    <t>Mortgage/Commercial Loan Payment</t>
  </si>
  <si>
    <t>UTILIDADES ANTES DE TAXES</t>
  </si>
  <si>
    <t>TAXES (CAIR)</t>
  </si>
  <si>
    <t>Taxes (Metodo Anterior)</t>
  </si>
  <si>
    <t>NET PROFIT</t>
  </si>
  <si>
    <t>Gross Margin</t>
  </si>
  <si>
    <t>Margin Operativo</t>
  </si>
  <si>
    <t>Margin Neto</t>
  </si>
  <si>
    <t>(1) La deprecicion podria aumentar si se compra nueva Machinery</t>
  </si>
  <si>
    <t>(2) The plan is to run an advertising campaign in 2008 and 2009 to promote the classic products and the company's new products</t>
  </si>
  <si>
    <t>good or poor cost management</t>
  </si>
  <si>
    <t>good or poor expense management</t>
  </si>
  <si>
    <t>good or poor management of interest and taxes</t>
  </si>
  <si>
    <t>Year</t>
  </si>
  <si>
    <t>Improve the quality of packing boxes</t>
  </si>
  <si>
    <t>Better inventory and finished goods management</t>
  </si>
  <si>
    <t>Keep personnel growth under control</t>
  </si>
  <si>
    <t>BI (dashboards, databases, pivot tables)</t>
  </si>
  <si>
    <t>The company is trying to increase annual profits</t>
  </si>
  <si>
    <t>to be able to recapitalize the company</t>
  </si>
  <si>
    <t>Company  Suquimsa</t>
  </si>
  <si>
    <t>REVENUE</t>
  </si>
  <si>
    <t>(Values in Dollars)</t>
  </si>
  <si>
    <t>% of Commercial Revenue (Supermarkets)</t>
  </si>
  <si>
    <t>% of Industrial Revenue (Companies)</t>
  </si>
  <si>
    <t>TOTAL year-over-year sales growth</t>
  </si>
  <si>
    <t>Sales Comercial (Supermercados)</t>
  </si>
  <si>
    <t>Sales Industrial (Empresas)</t>
  </si>
  <si>
    <t>Commercial Sales Margin (Supermarkets)</t>
  </si>
  <si>
    <t>Industrial Sales Margin (Companies)</t>
  </si>
  <si>
    <t>Commercial Cost of Sales (Supermarkets)</t>
  </si>
  <si>
    <t>Industrial Cost of Sales (Companies)</t>
  </si>
  <si>
    <t>TOTAL Cost of Sales</t>
  </si>
  <si>
    <t>Cost Supermercados</t>
  </si>
  <si>
    <t>Cost Empresas</t>
  </si>
  <si>
    <t>Projected Growth Rates</t>
  </si>
  <si>
    <t>Personnel and Professional Fees</t>
  </si>
  <si>
    <t>Salaries</t>
  </si>
  <si>
    <t>Common Administrative Expenses</t>
  </si>
  <si>
    <t>Fuel and Lubricants</t>
  </si>
  <si>
    <t>Electricity and Water</t>
  </si>
  <si>
    <t>Car Rentals</t>
  </si>
  <si>
    <t>Tools and Small Equipment</t>
  </si>
  <si>
    <t>Telephone</t>
  </si>
  <si>
    <t>Travel Allowance Expenses</t>
  </si>
  <si>
    <t>Marketing and Advertising Expenses</t>
  </si>
  <si>
    <t>Customer and Employee Attention</t>
  </si>
  <si>
    <t>Expenses Publicitarios</t>
  </si>
  <si>
    <t>Repar. Y Maintenance</t>
  </si>
  <si>
    <t>Auto Repair Maintenance</t>
  </si>
  <si>
    <t>Auto Maintenance and Repairs</t>
  </si>
  <si>
    <t>Equipment Maintenance</t>
  </si>
  <si>
    <t>Insurance e Taxes</t>
  </si>
  <si>
    <t>Bank Fees and Other Expenses</t>
  </si>
  <si>
    <t>Interest Bancarios</t>
  </si>
  <si>
    <t>TOTAL Expenses</t>
  </si>
  <si>
    <t>PERSONAL, WAGES Y SERV. PROFESIONALES</t>
  </si>
  <si>
    <t>ProjectedS Year 2008</t>
  </si>
  <si>
    <t>ProjectedS Year 2013</t>
  </si>
  <si>
    <t>Monthly</t>
  </si>
  <si>
    <t>Annual</t>
  </si>
  <si>
    <t>Wages</t>
  </si>
  <si>
    <t>Jefe Production</t>
  </si>
  <si>
    <t>Production Operators</t>
  </si>
  <si>
    <t>Sales</t>
  </si>
  <si>
    <t>Correccion estilo</t>
  </si>
  <si>
    <t>Diseno</t>
  </si>
  <si>
    <t>Fotografias</t>
  </si>
  <si>
    <t>TOTAL DE WAGES Y</t>
  </si>
  <si>
    <t>MONTHLYIDAD</t>
  </si>
  <si>
    <t>Years =</t>
  </si>
  <si>
    <t>LOAN CONSOLIDADO MULTIBANK</t>
  </si>
  <si>
    <t>Years</t>
  </si>
  <si>
    <t>Debt Balance at Beginning of Year</t>
  </si>
  <si>
    <t>Amortization del Loan</t>
  </si>
  <si>
    <t>Loan Interest Payment</t>
  </si>
  <si>
    <t>Total Pagado Amortization mas Inter     AnnualIDAD</t>
  </si>
  <si>
    <t>Debt Balance at End of Year</t>
  </si>
  <si>
    <t>Income Statement</t>
  </si>
  <si>
    <t>HISTORICAL</t>
  </si>
  <si>
    <t>Total Revenue</t>
  </si>
  <si>
    <t>Personnel and Professional Fees*</t>
  </si>
  <si>
    <t>Professional Fees Profesionales</t>
  </si>
  <si>
    <t>Operating Expenses</t>
  </si>
  <si>
    <t>Rent</t>
  </si>
  <si>
    <t>Travel Allowance and Transportation</t>
  </si>
  <si>
    <t>Travel and Meals Expense</t>
  </si>
  <si>
    <t>Water</t>
  </si>
  <si>
    <t>Marketing and advertising expenses</t>
  </si>
  <si>
    <t>Announcements and Advertising</t>
  </si>
  <si>
    <t>Repairs and Maintenance</t>
  </si>
  <si>
    <t>Equipment and Facilities Repairs and Maintenance</t>
  </si>
  <si>
    <t>Insurance generales</t>
  </si>
  <si>
    <t>Taxes</t>
  </si>
  <si>
    <t>Other Income and Other Expenses</t>
  </si>
  <si>
    <t>Other Income</t>
  </si>
  <si>
    <t>Other Operating Expenses</t>
  </si>
  <si>
    <t>Expenses no deducibles</t>
  </si>
  <si>
    <t>Depreciation and Amortization</t>
  </si>
  <si>
    <t>Costs Financial, netos</t>
  </si>
  <si>
    <t>Income Tax</t>
  </si>
  <si>
    <t>Total del Income Tax</t>
  </si>
  <si>
    <t>% Change in Sales</t>
  </si>
  <si>
    <t>% Change in Costs</t>
  </si>
  <si>
    <t>% Change in Expenses</t>
  </si>
  <si>
    <t>* In 2013, there was an unplanned expense of approx. $75,000 for the Social Security Fund.</t>
  </si>
  <si>
    <t>Sales Discounts</t>
  </si>
  <si>
    <t>Interest Ganados</t>
  </si>
  <si>
    <t>Otros Costs</t>
  </si>
  <si>
    <t>Purchase Discount</t>
  </si>
  <si>
    <t>Purchases exentas</t>
  </si>
  <si>
    <t>Safety Equipment</t>
  </si>
  <si>
    <t>Decimo Tercer Month</t>
  </si>
  <si>
    <t>Commissions</t>
  </si>
  <si>
    <t>Tolls and Transportation</t>
  </si>
  <si>
    <t>Tax Municipal</t>
  </si>
  <si>
    <t>UniforMonth a Empleados</t>
  </si>
  <si>
    <t>Expenses Varios</t>
  </si>
  <si>
    <t>Professional Fees Legales</t>
  </si>
  <si>
    <t>Light and Electricity</t>
  </si>
  <si>
    <t>Water Expense</t>
  </si>
  <si>
    <t>Tax Expenses</t>
  </si>
  <si>
    <t>Fumigation Expense</t>
  </si>
  <si>
    <t>Expenses Medicos</t>
  </si>
  <si>
    <t>Expense De Asesorias</t>
  </si>
  <si>
    <t>Expenses Imp. Inmuebles</t>
  </si>
  <si>
    <t>ITBMS Tax Expenses</t>
  </si>
  <si>
    <t>COMPANY SUQIMSA</t>
  </si>
  <si>
    <t>BALANCE SHEET</t>
  </si>
  <si>
    <t>AL 31 DE DECEMBER DE 2007-2006</t>
  </si>
  <si>
    <t>Cash on Hand and at Bank</t>
  </si>
  <si>
    <t>Finished Goods Inventory</t>
  </si>
  <si>
    <t>Raw Materials Inventory</t>
  </si>
  <si>
    <t>Accounts Receivable - Customers</t>
  </si>
  <si>
    <t>PROPIEDAD, PLANTA Y EQUIPMENT</t>
  </si>
  <si>
    <t>Equipment Industrial-Neto</t>
  </si>
  <si>
    <t>Computer Equipment-Net</t>
  </si>
  <si>
    <t>Office Equipment-Net</t>
  </si>
  <si>
    <t>Equipment Rodante-Neto</t>
  </si>
  <si>
    <t>Office Furniture-Net</t>
  </si>
  <si>
    <t>Furniture and Small Equipment-Net</t>
  </si>
  <si>
    <t>Total Property, Plant, and Equipment</t>
  </si>
  <si>
    <t>Tax S/R Estimado</t>
  </si>
  <si>
    <t>PASIVOS Y EQUITY DE LOS ACCIONISTAS</t>
  </si>
  <si>
    <t>Cuenta por Pagar-Suppliers</t>
  </si>
  <si>
    <t>Loan Finance Capital Devel (Circulante)</t>
  </si>
  <si>
    <t>Loan Galera (B. Aliado)</t>
  </si>
  <si>
    <t>Tax S/R por pagar</t>
  </si>
  <si>
    <t>Loan Finance Capital Devel</t>
  </si>
  <si>
    <t>Total Liability a Largo Plazo</t>
  </si>
  <si>
    <t>EQUITY DE LOS ACCIONISTAS</t>
  </si>
  <si>
    <t>Profit Acumuladas</t>
  </si>
  <si>
    <t>Profit o (Loss)  neta del Periodo</t>
  </si>
  <si>
    <t>Total Shareholders' Equity</t>
  </si>
  <si>
    <t>TOTAL DE PASIVOS Y EQUITY DE LOS ACCIONISTAS</t>
  </si>
  <si>
    <t>Cash Flow</t>
  </si>
  <si>
    <t>EXPENSES</t>
  </si>
  <si>
    <t>FINANCIAL EXPENSES</t>
  </si>
  <si>
    <t>Loan Financing 1</t>
  </si>
  <si>
    <t>Mortgage loan</t>
  </si>
  <si>
    <t xml:space="preserve">CASH </t>
  </si>
  <si>
    <t>ASSET</t>
  </si>
  <si>
    <t>JUAN, TO COMPLETE THIS BALANCE SHEET</t>
  </si>
  <si>
    <t xml:space="preserve"> NECESITAMOS DISCUTIR LAS PROXIMAS INVESTMENTES</t>
  </si>
  <si>
    <t xml:space="preserve"> EN ACTIVOS Y Machinery…</t>
  </si>
  <si>
    <t>Cash or bank</t>
  </si>
  <si>
    <t>Accounts Receivable</t>
  </si>
  <si>
    <t>Inventory</t>
  </si>
  <si>
    <t xml:space="preserve">Fixed Assets (Eq, etc.) </t>
  </si>
  <si>
    <t>Depreciation EI</t>
  </si>
  <si>
    <t>Depreciation EC</t>
  </si>
  <si>
    <t>Depreciation EO</t>
  </si>
  <si>
    <t>Office Furniture</t>
  </si>
  <si>
    <t>Furniture and Small Equipment</t>
  </si>
  <si>
    <t>LIABILITY</t>
  </si>
  <si>
    <t>Loan Banco Aliado Leasing</t>
  </si>
  <si>
    <t>Loan Finance Capital Devel (2005 no es Financia)</t>
  </si>
  <si>
    <t>Razones Financial</t>
  </si>
  <si>
    <t>Rentbilidad</t>
  </si>
  <si>
    <t>Margin Sobre Sales</t>
  </si>
  <si>
    <t>Net Profit/ Sales</t>
  </si>
  <si>
    <t>Gross Profit/ Sales</t>
  </si>
  <si>
    <t>Profit Before Taxes e Interest/ Sales</t>
  </si>
  <si>
    <t>Rendimiento Sobre el Equity (ROE)</t>
  </si>
  <si>
    <t>Net Profit/ Equity</t>
  </si>
  <si>
    <t>Rendimiento Sobre Asset (ROA)</t>
  </si>
  <si>
    <t>Profit Before Taxes e Interest x (1- Tasa Taxes)/ Asset</t>
  </si>
  <si>
    <t>Sales/ Asset</t>
  </si>
  <si>
    <t>Net Fixed Asset Turnover</t>
  </si>
  <si>
    <t>Sales/ Fixed Assets Neto</t>
  </si>
  <si>
    <t>Cuentas x Cobrar X Dias del periodo/ Sales</t>
  </si>
  <si>
    <t>Working Capital Neto</t>
  </si>
  <si>
    <t>Asset Circulante - Liability Circulante</t>
  </si>
  <si>
    <t>Asset Circulante/ Liability Circulante</t>
  </si>
  <si>
    <t>Asset Circulante - Inventory/ Liability Circulante</t>
  </si>
  <si>
    <t>Liability Total/ Asset Total</t>
  </si>
  <si>
    <t>Liability Total/ Equity</t>
  </si>
  <si>
    <t>Historical and projected revenue</t>
  </si>
  <si>
    <t>Historical and projected costs</t>
  </si>
  <si>
    <t>Historical and projected expenses</t>
  </si>
  <si>
    <t>Worksheet to calculate personnel expenses by role</t>
  </si>
  <si>
    <t>Financial Objective</t>
  </si>
  <si>
    <t>REVENUE GOALS</t>
  </si>
  <si>
    <t>&lt;&lt;CONTENTS</t>
  </si>
  <si>
    <t>FINANCIAL OBJECTIVES - 3 YEARS (2014-2016)</t>
  </si>
  <si>
    <t>OPERATING OBJECTIVES</t>
  </si>
  <si>
    <t>PRODUCTION GOALS</t>
  </si>
  <si>
    <t>COST GOALS</t>
  </si>
  <si>
    <t>ACCOUNTING GOALS</t>
  </si>
  <si>
    <t>EXPENSE GOALS</t>
  </si>
  <si>
    <t>FINANCE AND BI GOALS</t>
  </si>
  <si>
    <t>LIABILITY GOALS</t>
  </si>
  <si>
    <t>ASSET GOALS</t>
  </si>
  <si>
    <t>CAPITAL GOALS</t>
  </si>
  <si>
    <t>Focus on the industrial market, as it has a</t>
  </si>
  <si>
    <t>much higher sales margin than supermarket customers</t>
  </si>
  <si>
    <t>and that sales margin can be sustained with faster collections</t>
  </si>
  <si>
    <t>Achieve sales increases of 40%-18% for industrial customers</t>
  </si>
  <si>
    <t>Achieve sales increases of 11%-8% for supermarket customers</t>
  </si>
  <si>
    <t>Improve storage</t>
  </si>
  <si>
    <t>Reduce product waste</t>
  </si>
  <si>
    <t>Reduce returns</t>
  </si>
  <si>
    <t>Goal: waste reduction</t>
  </si>
  <si>
    <t>Goal: reduce cost of sales, especially for industrial customers</t>
  </si>
  <si>
    <t>Maintain stability for supermarkets</t>
  </si>
  <si>
    <t>Accounting is already in order</t>
  </si>
  <si>
    <t>Reduce total expenses from 6% to 3%</t>
  </si>
  <si>
    <t>Maintain orderly, clean, and transparent finances</t>
  </si>
  <si>
    <t>Incorporate and train staff in principles of</t>
  </si>
  <si>
    <t>Properly manage the consolidated loan</t>
  </si>
  <si>
    <t>Use a maximum of $200,000 from the revolving credit line</t>
  </si>
  <si>
    <t>Purchase an automatic gallon filler and labeling machine</t>
  </si>
  <si>
    <t>by the end of 2014</t>
  </si>
  <si>
    <t>Loans</t>
  </si>
  <si>
    <t>Detail</t>
  </si>
  <si>
    <t>Delta Comercial (Supermarkets)</t>
  </si>
  <si>
    <t>Delta Industrial (Companies)</t>
  </si>
  <si>
    <t>% Change in Tot Revenue</t>
  </si>
  <si>
    <t>Total Sales</t>
  </si>
  <si>
    <t>TOTAL SALES REVENUE</t>
  </si>
  <si>
    <t xml:space="preserve">                          </t>
  </si>
  <si>
    <t xml:space="preserve">                                             </t>
  </si>
  <si>
    <t>COSTS BY CLIENT TYPE</t>
  </si>
  <si>
    <t>MONTHLY PAYMENT</t>
  </si>
  <si>
    <t>TOTAL PAYMENT</t>
  </si>
  <si>
    <t>Amount =</t>
  </si>
  <si>
    <t>Rate =</t>
  </si>
  <si>
    <t>INTEREST PAYMENT</t>
  </si>
  <si>
    <t>Loan Amortization</t>
  </si>
  <si>
    <t>Total Payment: Amortization plus Interest</t>
  </si>
  <si>
    <t>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</si>
</sst>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&quot;$&quot;#,##0_);[Red]\(&quot;$&quot;#,##0\)"/>
    <numFmt numFmtId="165" formatCode="&quot;$&quot;#,##0.00_);[Red]\(&quot;$&quot;#,##0.00\)"/>
    <numFmt numFmtId="166" formatCode="_(* #,##0_);_(* \(#,##0\);_(* &quot;-&quot;_);_(@_)"/>
    <numFmt numFmtId="167" formatCode="_(* #,##0.00_);_(* \(#,##0.00\);_(* &quot;-&quot;??_);_(@_)"/>
    <numFmt numFmtId="168" formatCode="_(&quot;N$&quot;* #,##0.00_);_(&quot;N$&quot;* \(#,##0.00\);_(&quot;N$&quot;* &quot;-&quot;??_);_(@_)"/>
    <numFmt numFmtId="169" formatCode="0_)"/>
    <numFmt numFmtId="170" formatCode="_(* #,##0_);_(* \(#,##0\);_(* &quot;-&quot;??_);_(@_)"/>
    <numFmt numFmtId="171" formatCode="_([$€-2]\ * #,##0.00_);_([$€-2]\ * \(#,##0.00\);_([$€-2]\ * &quot;-&quot;??_)"/>
    <numFmt numFmtId="172" formatCode="0.00;[Red]0.00"/>
    <numFmt numFmtId="173" formatCode="[$$-409]#,##0"/>
    <numFmt numFmtId="174" formatCode="[$$-409]#,##0_ ;[Red]\-[$$-409]#,##0\ "/>
    <numFmt numFmtId="175" formatCode="#,##0.0"/>
    <numFmt numFmtId="176" formatCode="0.0%"/>
    <numFmt numFmtId="177" formatCode="0.00_);[Red]\(0.00\)"/>
    <numFmt numFmtId="178" formatCode="#,##0_ ;[Red]\-#,##0\ "/>
    <numFmt numFmtId="179" formatCode="0;[Red]0"/>
    <numFmt numFmtId="180" formatCode="_([$B/.-180A]\ * #,##0_);_([$B/.-180A]\ * \(#,##0\);_([$B/.-180A]\ * &quot;-&quot;_);_(@_)"/>
    <numFmt numFmtId="181" formatCode="\$* #,##0.00;\(\$* #,##0.00\)"/>
    <numFmt numFmtId="182" formatCode="#,##0.00;\(#,##0.00\)"/>
  </numFmts>
  <fonts count="44" x14ac:knownFonts="1">
    <font>
      <sz val="12"/>
      <name val="Helv"/>
    </font>
    <font>
      <sz val="10"/>
      <name val="Arial"/>
    </font>
    <font>
      <sz val="10"/>
      <name val="Arial"/>
      <family val="2"/>
    </font>
    <font>
      <u/>
      <sz val="12"/>
      <color indexed="12"/>
      <name val="Helv"/>
    </font>
    <font>
      <b/>
      <sz val="12"/>
      <name val="Helv"/>
    </font>
    <font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u val="double"/>
      <sz val="12"/>
      <name val="Times New Roman"/>
      <family val="1"/>
    </font>
    <font>
      <sz val="11"/>
      <name val="Times New Roman"/>
      <family val="1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u/>
      <sz val="10"/>
      <color indexed="12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  <font>
      <b/>
      <u/>
      <sz val="10"/>
      <color rgb="FFFFFFFF"/>
      <name val="Aptos"/>
      <family val="2"/>
    </font>
    <font>
      <i/>
      <sz val="10"/>
      <name val="Aptos"/>
      <family val="2"/>
    </font>
    <font>
      <b/>
      <u/>
      <sz val="10"/>
      <name val="Aptos"/>
      <family val="2"/>
    </font>
    <font>
      <b/>
      <i/>
      <sz val="10"/>
      <name val="Aptos"/>
      <family val="2"/>
    </font>
    <font>
      <sz val="10"/>
      <color rgb="FF000000"/>
      <name val="Aptos"/>
      <family val="2"/>
    </font>
    <font>
      <sz val="10"/>
      <color indexed="10"/>
      <name val="Aptos"/>
      <family val="2"/>
    </font>
    <font>
      <b/>
      <sz val="10"/>
      <color indexed="10"/>
      <name val="Aptos"/>
      <family val="2"/>
    </font>
    <font>
      <b/>
      <sz val="10"/>
      <color rgb="FF000000"/>
      <name val="Aptos"/>
      <family val="2"/>
    </font>
    <font>
      <u/>
      <sz val="10"/>
      <name val="Aptos"/>
      <family val="2"/>
    </font>
    <font>
      <b/>
      <i/>
      <sz val="10"/>
      <color rgb="FFFFFFFF"/>
      <name val="Aptos"/>
      <family val="2"/>
    </font>
    <font>
      <b/>
      <sz val="10"/>
      <color rgb="FFFF0000"/>
      <name val="Aptos"/>
      <family val="2"/>
    </font>
    <font>
      <sz val="10"/>
      <color indexed="9"/>
      <name val="Aptos"/>
      <family val="2"/>
    </font>
    <font>
      <sz val="10"/>
      <color indexed="8"/>
      <name val="Aptos"/>
      <family val="2"/>
    </font>
    <font>
      <b/>
      <sz val="10"/>
      <color indexed="8"/>
      <name val="Aptos"/>
      <family val="2"/>
    </font>
    <font>
      <i/>
      <sz val="12"/>
      <name val="Aptos"/>
      <family val="2"/>
    </font>
    <font>
      <b/>
      <sz val="16"/>
      <name val="Aptos"/>
      <family val="2"/>
    </font>
    <font>
      <sz val="12"/>
      <name val="Aptos"/>
      <family val="2"/>
    </font>
  </fonts>
  <fills count="20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gray125">
        <fgColor indexed="8"/>
        <bgColor indexed="9"/>
      </patternFill>
    </fill>
    <fill>
      <patternFill patternType="solid">
        <fgColor indexed="9"/>
        <bgColor indexed="64"/>
      </patternFill>
    </fill>
    <fill>
      <patternFill patternType="gray125"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2F4F"/>
        <bgColor indexed="64"/>
      </patternFill>
    </fill>
    <fill>
      <patternFill patternType="solid">
        <fgColor rgb="FFF8F2EA"/>
        <bgColor indexed="64"/>
      </patternFill>
    </fill>
    <fill>
      <patternFill patternType="solid">
        <fgColor rgb="FFF8F2EA"/>
        <bgColor indexed="8"/>
      </patternFill>
    </fill>
  </fills>
  <borders count="19">
    <border>
      <left/>
      <right/>
      <top/>
      <bottom/>
      <diagonal/>
    </border>
    <border>
      <left style="thin">
        <color rgb="FFF3E2D9"/>
      </left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F3E2D9"/>
      </left>
      <right/>
      <top style="thin">
        <color rgb="FFF3E2D9"/>
      </top>
      <bottom style="thin">
        <color rgb="FFF3E2D9"/>
      </bottom>
      <diagonal/>
    </border>
    <border>
      <left/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F3E2D9"/>
      </left>
      <right style="thin">
        <color rgb="FFF3E2D9"/>
      </right>
      <top style="thin">
        <color rgb="FFF3E2D9"/>
      </top>
      <bottom/>
      <diagonal/>
    </border>
    <border>
      <left style="thin">
        <color rgb="FFF3E2D9"/>
      </left>
      <right style="thin">
        <color rgb="FFF3E2D9"/>
      </right>
      <top/>
      <bottom style="thin">
        <color rgb="FFF3E2D9"/>
      </bottom>
      <diagonal/>
    </border>
    <border>
      <left style="medium">
        <color indexed="64"/>
      </left>
      <right style="thin">
        <color rgb="FFF3E2D9"/>
      </right>
      <top style="medium">
        <color indexed="64"/>
      </top>
      <bottom style="thin">
        <color rgb="FFF3E2D9"/>
      </bottom>
      <diagonal/>
    </border>
    <border>
      <left style="thin">
        <color rgb="FFF3E2D9"/>
      </left>
      <right style="thin">
        <color rgb="FFF3E2D9"/>
      </right>
      <top style="medium">
        <color indexed="64"/>
      </top>
      <bottom style="thin">
        <color rgb="FFF3E2D9"/>
      </bottom>
      <diagonal/>
    </border>
    <border>
      <left style="thin">
        <color rgb="FFF3E2D9"/>
      </left>
      <right style="medium">
        <color indexed="64"/>
      </right>
      <top style="medium">
        <color indexed="64"/>
      </top>
      <bottom style="thin">
        <color rgb="FFF3E2D9"/>
      </bottom>
      <diagonal/>
    </border>
    <border>
      <left style="medium">
        <color indexed="64"/>
      </left>
      <right style="thin">
        <color rgb="FFF3E2D9"/>
      </right>
      <top style="thin">
        <color rgb="FFF3E2D9"/>
      </top>
      <bottom style="thin">
        <color rgb="FFF3E2D9"/>
      </bottom>
      <diagonal/>
    </border>
    <border>
      <left style="thin">
        <color rgb="FFF3E2D9"/>
      </left>
      <right style="medium">
        <color indexed="64"/>
      </right>
      <top style="thin">
        <color rgb="FFF3E2D9"/>
      </top>
      <bottom style="thin">
        <color rgb="FFF3E2D9"/>
      </bottom>
      <diagonal/>
    </border>
    <border>
      <left style="medium">
        <color indexed="64"/>
      </left>
      <right style="thin">
        <color rgb="FFF3E2D9"/>
      </right>
      <top style="thin">
        <color rgb="FFF3E2D9"/>
      </top>
      <bottom style="medium">
        <color indexed="64"/>
      </bottom>
      <diagonal/>
    </border>
    <border>
      <left style="thin">
        <color rgb="FFF3E2D9"/>
      </left>
      <right style="thin">
        <color rgb="FFF3E2D9"/>
      </right>
      <top style="thin">
        <color rgb="FFF3E2D9"/>
      </top>
      <bottom style="medium">
        <color indexed="64"/>
      </bottom>
      <diagonal/>
    </border>
    <border>
      <left style="thin">
        <color rgb="FFF3E2D9"/>
      </left>
      <right style="medium">
        <color indexed="64"/>
      </right>
      <top style="thin">
        <color rgb="FFF3E2D9"/>
      </top>
      <bottom style="medium">
        <color indexed="64"/>
      </bottom>
      <diagonal/>
    </border>
    <border>
      <left/>
      <right/>
      <top style="thin">
        <color rgb="FFF3E2D9"/>
      </top>
      <bottom style="thin">
        <color rgb="FFF3E2D9"/>
      </bottom>
      <diagonal/>
    </border>
    <border>
      <left style="medium">
        <color indexed="64"/>
      </left>
      <right style="thin">
        <color rgb="FFF3E2D9"/>
      </right>
      <top style="thin">
        <color rgb="FFF3E2D9"/>
      </top>
      <bottom/>
      <diagonal/>
    </border>
    <border>
      <left style="thin">
        <color rgb="FFF3E2D9"/>
      </left>
      <right style="medium">
        <color indexed="64"/>
      </right>
      <top style="thin">
        <color rgb="FFF3E2D9"/>
      </top>
      <bottom/>
      <diagonal/>
    </border>
    <border>
      <left style="medium">
        <color indexed="64"/>
      </left>
      <right style="thin">
        <color rgb="FFF3E2D9"/>
      </right>
      <top/>
      <bottom style="thin">
        <color rgb="FFF3E2D9"/>
      </bottom>
      <diagonal/>
    </border>
    <border>
      <left style="thin">
        <color rgb="FFF3E2D9"/>
      </left>
      <right style="medium">
        <color indexed="64"/>
      </right>
      <top/>
      <bottom style="thin">
        <color rgb="FFF3E2D9"/>
      </bottom>
      <diagonal/>
    </border>
  </borders>
  <cellStyleXfs count="10">
    <xf numFmtId="0" fontId="0" fillId="0" borderId="0"/>
    <xf numFmtId="0" fontId="15" fillId="0" borderId="0"/>
    <xf numFmtId="171" fontId="1" fillId="0" borderId="0" applyFont="0" applyFill="0" applyBorder="0" applyAlignment="0" applyProtection="0"/>
    <xf numFmtId="0" fontId="8" fillId="0" borderId="0"/>
    <xf numFmtId="0" fontId="3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</cellStyleXfs>
  <cellXfs count="335">
    <xf numFmtId="0" fontId="0" fillId="0" borderId="0" xfId="0"/>
    <xf numFmtId="170" fontId="0" fillId="0" borderId="0" xfId="5" applyNumberFormat="1" applyFont="1"/>
    <xf numFmtId="170" fontId="0" fillId="0" borderId="0" xfId="5" applyNumberFormat="1" applyFont="1" applyFill="1" applyBorder="1"/>
    <xf numFmtId="0" fontId="5" fillId="0" borderId="0" xfId="0" applyFont="1"/>
    <xf numFmtId="170" fontId="5" fillId="0" borderId="0" xfId="5" applyNumberFormat="1" applyFont="1"/>
    <xf numFmtId="170" fontId="5" fillId="0" borderId="0" xfId="5" applyNumberFormat="1" applyFont="1" applyFill="1" applyBorder="1"/>
    <xf numFmtId="170" fontId="9" fillId="0" borderId="0" xfId="5" applyNumberFormat="1" applyFont="1" applyFill="1" applyBorder="1"/>
    <xf numFmtId="0" fontId="5" fillId="0" borderId="0" xfId="0" applyFont="1" applyAlignment="1">
      <alignment horizontal="center"/>
    </xf>
    <xf numFmtId="170" fontId="0" fillId="0" borderId="0" xfId="5" applyNumberFormat="1" applyFont="1" applyFill="1"/>
    <xf numFmtId="0" fontId="4" fillId="0" borderId="0" xfId="0" applyFont="1"/>
    <xf numFmtId="170" fontId="17" fillId="0" borderId="0" xfId="5" applyNumberFormat="1" applyFont="1" applyFill="1" applyBorder="1"/>
    <xf numFmtId="170" fontId="18" fillId="0" borderId="0" xfId="5" applyNumberFormat="1" applyFont="1" applyFill="1" applyBorder="1"/>
    <xf numFmtId="38" fontId="18" fillId="0" borderId="0" xfId="5" applyNumberFormat="1" applyFont="1" applyFill="1" applyBorder="1"/>
    <xf numFmtId="176" fontId="18" fillId="0" borderId="0" xfId="5" applyNumberFormat="1" applyFont="1" applyFill="1" applyBorder="1"/>
    <xf numFmtId="0" fontId="10" fillId="0" borderId="0" xfId="7" applyFont="1"/>
    <xf numFmtId="0" fontId="11" fillId="0" borderId="0" xfId="7" applyFont="1"/>
    <xf numFmtId="0" fontId="13" fillId="0" borderId="0" xfId="7" applyFont="1"/>
    <xf numFmtId="0" fontId="12" fillId="0" borderId="0" xfId="7" applyFont="1"/>
    <xf numFmtId="39" fontId="10" fillId="0" borderId="0" xfId="7" applyNumberFormat="1" applyFont="1"/>
    <xf numFmtId="0" fontId="5" fillId="11" borderId="0" xfId="0" applyFont="1" applyFill="1"/>
    <xf numFmtId="0" fontId="19" fillId="0" borderId="0" xfId="0" applyFont="1"/>
    <xf numFmtId="0" fontId="20" fillId="0" borderId="0" xfId="0" applyFont="1"/>
    <xf numFmtId="0" fontId="16" fillId="0" borderId="0" xfId="7" applyFont="1"/>
    <xf numFmtId="0" fontId="14" fillId="0" borderId="0" xfId="7" applyFont="1"/>
    <xf numFmtId="0" fontId="21" fillId="17" borderId="1" xfId="0" applyFont="1" applyFill="1" applyBorder="1" applyAlignment="1">
      <alignment vertical="center"/>
    </xf>
    <xf numFmtId="0" fontId="21" fillId="17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vertical="center"/>
    </xf>
    <xf numFmtId="0" fontId="23" fillId="11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center" vertical="center"/>
    </xf>
    <xf numFmtId="0" fontId="24" fillId="11" borderId="1" xfId="4" applyFont="1" applyFill="1" applyBorder="1" applyAlignment="1" applyProtection="1">
      <alignment vertical="center"/>
    </xf>
    <xf numFmtId="170" fontId="21" fillId="17" borderId="1" xfId="5" applyNumberFormat="1" applyFont="1" applyFill="1" applyBorder="1" applyAlignment="1" applyProtection="1">
      <alignment horizontal="centerContinuous" vertical="center"/>
    </xf>
    <xf numFmtId="0" fontId="27" fillId="17" borderId="1" xfId="4" applyFont="1" applyFill="1" applyBorder="1" applyAlignment="1" applyProtection="1">
      <alignment horizontal="center" vertical="center"/>
    </xf>
    <xf numFmtId="170" fontId="21" fillId="17" borderId="1" xfId="5" applyNumberFormat="1" applyFont="1" applyFill="1" applyBorder="1" applyAlignment="1">
      <alignment horizontal="centerContinuous" vertical="center"/>
    </xf>
    <xf numFmtId="170" fontId="21" fillId="17" borderId="1" xfId="5" applyNumberFormat="1" applyFont="1" applyFill="1" applyBorder="1" applyAlignment="1">
      <alignment vertical="center"/>
    </xf>
    <xf numFmtId="38" fontId="21" fillId="17" borderId="1" xfId="5" applyNumberFormat="1" applyFont="1" applyFill="1" applyBorder="1" applyAlignment="1">
      <alignment vertical="center"/>
    </xf>
    <xf numFmtId="176" fontId="21" fillId="17" borderId="1" xfId="5" applyNumberFormat="1" applyFont="1" applyFill="1" applyBorder="1" applyAlignment="1">
      <alignment vertical="center"/>
    </xf>
    <xf numFmtId="170" fontId="23" fillId="4" borderId="1" xfId="5" applyNumberFormat="1" applyFont="1" applyFill="1" applyBorder="1" applyAlignment="1" applyProtection="1">
      <alignment horizontal="centerContinuous" vertical="center"/>
    </xf>
    <xf numFmtId="170" fontId="23" fillId="4" borderId="1" xfId="5" applyNumberFormat="1" applyFont="1" applyFill="1" applyBorder="1" applyAlignment="1">
      <alignment horizontal="centerContinuous" vertical="center"/>
    </xf>
    <xf numFmtId="170" fontId="23" fillId="4" borderId="1" xfId="5" applyNumberFormat="1" applyFont="1" applyFill="1" applyBorder="1" applyAlignment="1" applyProtection="1">
      <alignment horizontal="center" vertical="center"/>
    </xf>
    <xf numFmtId="170" fontId="23" fillId="0" borderId="1" xfId="5" applyNumberFormat="1" applyFont="1" applyFill="1" applyBorder="1" applyAlignment="1">
      <alignment horizontal="centerContinuous" vertical="center"/>
    </xf>
    <xf numFmtId="170" fontId="25" fillId="0" borderId="1" xfId="5" applyNumberFormat="1" applyFont="1" applyFill="1" applyBorder="1" applyAlignment="1">
      <alignment horizontal="centerContinuous" vertical="center"/>
    </xf>
    <xf numFmtId="170" fontId="26" fillId="0" borderId="1" xfId="5" applyNumberFormat="1" applyFont="1" applyFill="1" applyBorder="1" applyAlignment="1">
      <alignment vertical="center"/>
    </xf>
    <xf numFmtId="38" fontId="26" fillId="0" borderId="1" xfId="5" applyNumberFormat="1" applyFont="1" applyFill="1" applyBorder="1" applyAlignment="1">
      <alignment vertical="center"/>
    </xf>
    <xf numFmtId="176" fontId="26" fillId="0" borderId="1" xfId="5" applyNumberFormat="1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170" fontId="22" fillId="4" borderId="1" xfId="5" applyNumberFormat="1" applyFont="1" applyFill="1" applyBorder="1" applyAlignment="1">
      <alignment vertical="center"/>
    </xf>
    <xf numFmtId="170" fontId="22" fillId="0" borderId="1" xfId="5" applyNumberFormat="1" applyFont="1" applyFill="1" applyBorder="1" applyAlignment="1">
      <alignment vertical="center"/>
    </xf>
    <xf numFmtId="170" fontId="25" fillId="0" borderId="1" xfId="5" applyNumberFormat="1" applyFont="1" applyFill="1" applyBorder="1" applyAlignment="1">
      <alignment vertical="center"/>
    </xf>
    <xf numFmtId="38" fontId="25" fillId="0" borderId="1" xfId="5" applyNumberFormat="1" applyFont="1" applyFill="1" applyBorder="1" applyAlignment="1">
      <alignment vertical="center"/>
    </xf>
    <xf numFmtId="176" fontId="25" fillId="0" borderId="1" xfId="5" applyNumberFormat="1" applyFont="1" applyFill="1" applyBorder="1" applyAlignment="1">
      <alignment vertical="center"/>
    </xf>
    <xf numFmtId="170" fontId="22" fillId="4" borderId="1" xfId="5" applyNumberFormat="1" applyFont="1" applyFill="1" applyBorder="1" applyAlignment="1">
      <alignment horizontal="center" vertical="center" wrapText="1"/>
    </xf>
    <xf numFmtId="170" fontId="23" fillId="4" borderId="1" xfId="5" applyNumberFormat="1" applyFont="1" applyFill="1" applyBorder="1" applyAlignment="1" applyProtection="1">
      <alignment vertical="center"/>
    </xf>
    <xf numFmtId="170" fontId="25" fillId="4" borderId="1" xfId="5" applyNumberFormat="1" applyFont="1" applyFill="1" applyBorder="1" applyAlignment="1" applyProtection="1">
      <alignment vertical="center"/>
    </xf>
    <xf numFmtId="170" fontId="26" fillId="4" borderId="1" xfId="5" applyNumberFormat="1" applyFont="1" applyFill="1" applyBorder="1" applyAlignment="1">
      <alignment vertical="center"/>
    </xf>
    <xf numFmtId="38" fontId="26" fillId="4" borderId="1" xfId="5" applyNumberFormat="1" applyFont="1" applyFill="1" applyBorder="1" applyAlignment="1">
      <alignment vertical="center"/>
    </xf>
    <xf numFmtId="176" fontId="26" fillId="4" borderId="1" xfId="5" applyNumberFormat="1" applyFont="1" applyFill="1" applyBorder="1" applyAlignment="1">
      <alignment vertical="center"/>
    </xf>
    <xf numFmtId="0" fontId="26" fillId="4" borderId="1" xfId="0" applyFont="1" applyFill="1" applyBorder="1" applyAlignment="1">
      <alignment vertical="center"/>
    </xf>
    <xf numFmtId="38" fontId="26" fillId="4" borderId="1" xfId="0" applyNumberFormat="1" applyFont="1" applyFill="1" applyBorder="1" applyAlignment="1">
      <alignment vertical="center"/>
    </xf>
    <xf numFmtId="170" fontId="23" fillId="4" borderId="1" xfId="5" applyNumberFormat="1" applyFont="1" applyFill="1" applyBorder="1" applyAlignment="1" applyProtection="1">
      <alignment horizontal="left" vertical="center"/>
    </xf>
    <xf numFmtId="3" fontId="23" fillId="4" borderId="1" xfId="5" applyNumberFormat="1" applyFont="1" applyFill="1" applyBorder="1" applyAlignment="1" applyProtection="1">
      <alignment vertical="center"/>
    </xf>
    <xf numFmtId="3" fontId="25" fillId="4" borderId="1" xfId="5" applyNumberFormat="1" applyFont="1" applyFill="1" applyBorder="1" applyAlignment="1" applyProtection="1">
      <alignment vertical="center"/>
    </xf>
    <xf numFmtId="167" fontId="26" fillId="4" borderId="1" xfId="0" applyNumberFormat="1" applyFont="1" applyFill="1" applyBorder="1" applyAlignment="1">
      <alignment vertical="center"/>
    </xf>
    <xf numFmtId="3" fontId="26" fillId="4" borderId="1" xfId="0" applyNumberFormat="1" applyFont="1" applyFill="1" applyBorder="1" applyAlignment="1">
      <alignment vertical="center"/>
    </xf>
    <xf numFmtId="3" fontId="22" fillId="4" borderId="1" xfId="5" applyNumberFormat="1" applyFont="1" applyFill="1" applyBorder="1" applyAlignment="1" applyProtection="1">
      <alignment vertical="center"/>
    </xf>
    <xf numFmtId="3" fontId="26" fillId="4" borderId="1" xfId="5" applyNumberFormat="1" applyFont="1" applyFill="1" applyBorder="1" applyAlignment="1" applyProtection="1">
      <alignment vertical="center"/>
    </xf>
    <xf numFmtId="3" fontId="26" fillId="4" borderId="1" xfId="5" applyNumberFormat="1" applyFont="1" applyFill="1" applyBorder="1" applyAlignment="1">
      <alignment vertical="center"/>
    </xf>
    <xf numFmtId="3" fontId="23" fillId="4" borderId="1" xfId="5" applyNumberFormat="1" applyFont="1" applyFill="1" applyBorder="1" applyAlignment="1" applyProtection="1">
      <alignment horizontal="right" vertical="center"/>
    </xf>
    <xf numFmtId="3" fontId="25" fillId="4" borderId="1" xfId="5" applyNumberFormat="1" applyFont="1" applyFill="1" applyBorder="1" applyAlignment="1" applyProtection="1">
      <alignment horizontal="right" vertical="center"/>
    </xf>
    <xf numFmtId="0" fontId="22" fillId="4" borderId="1" xfId="0" applyFont="1" applyFill="1" applyBorder="1" applyAlignment="1">
      <alignment vertical="center"/>
    </xf>
    <xf numFmtId="3" fontId="22" fillId="4" borderId="1" xfId="0" applyNumberFormat="1" applyFont="1" applyFill="1" applyBorder="1" applyAlignment="1">
      <alignment vertical="center"/>
    </xf>
    <xf numFmtId="3" fontId="22" fillId="4" borderId="1" xfId="5" applyNumberFormat="1" applyFont="1" applyFill="1" applyBorder="1" applyAlignment="1">
      <alignment vertical="center"/>
    </xf>
    <xf numFmtId="4" fontId="22" fillId="4" borderId="1" xfId="0" applyNumberFormat="1" applyFont="1" applyFill="1" applyBorder="1" applyAlignment="1">
      <alignment vertical="center"/>
    </xf>
    <xf numFmtId="4" fontId="26" fillId="4" borderId="1" xfId="0" applyNumberFormat="1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78" fontId="22" fillId="4" borderId="1" xfId="0" applyNumberFormat="1" applyFont="1" applyFill="1" applyBorder="1" applyAlignment="1">
      <alignment vertical="center"/>
    </xf>
    <xf numFmtId="3" fontId="22" fillId="4" borderId="1" xfId="0" applyNumberFormat="1" applyFont="1" applyFill="1" applyBorder="1" applyAlignment="1">
      <alignment horizontal="right" vertical="center"/>
    </xf>
    <xf numFmtId="3" fontId="26" fillId="4" borderId="1" xfId="0" applyNumberFormat="1" applyFont="1" applyFill="1" applyBorder="1" applyAlignment="1">
      <alignment horizontal="right" vertical="center"/>
    </xf>
    <xf numFmtId="3" fontId="26" fillId="0" borderId="1" xfId="5" applyNumberFormat="1" applyFont="1" applyFill="1" applyBorder="1" applyAlignment="1">
      <alignment vertical="center"/>
    </xf>
    <xf numFmtId="167" fontId="22" fillId="4" borderId="1" xfId="5" applyFont="1" applyFill="1" applyBorder="1" applyAlignment="1">
      <alignment vertical="center"/>
    </xf>
    <xf numFmtId="38" fontId="23" fillId="4" borderId="1" xfId="5" applyNumberFormat="1" applyFont="1" applyFill="1" applyBorder="1" applyAlignment="1" applyProtection="1">
      <alignment vertical="center"/>
    </xf>
    <xf numFmtId="38" fontId="25" fillId="4" borderId="1" xfId="5" applyNumberFormat="1" applyFont="1" applyFill="1" applyBorder="1" applyAlignment="1" applyProtection="1">
      <alignment vertical="center"/>
    </xf>
    <xf numFmtId="170" fontId="22" fillId="4" borderId="1" xfId="5" applyNumberFormat="1" applyFont="1" applyFill="1" applyBorder="1" applyAlignment="1" applyProtection="1">
      <alignment horizontal="left" vertical="center"/>
    </xf>
    <xf numFmtId="170" fontId="25" fillId="4" borderId="1" xfId="5" applyNumberFormat="1" applyFont="1" applyFill="1" applyBorder="1" applyAlignment="1" applyProtection="1">
      <alignment horizontal="left" vertical="center"/>
    </xf>
    <xf numFmtId="9" fontId="22" fillId="4" borderId="1" xfId="9" applyFont="1" applyFill="1" applyBorder="1" applyAlignment="1">
      <alignment vertical="center"/>
    </xf>
    <xf numFmtId="9" fontId="26" fillId="4" borderId="1" xfId="9" applyFont="1" applyFill="1" applyBorder="1" applyAlignment="1">
      <alignment vertical="center"/>
    </xf>
    <xf numFmtId="170" fontId="22" fillId="4" borderId="1" xfId="5" quotePrefix="1" applyNumberFormat="1" applyFont="1" applyFill="1" applyBorder="1" applyAlignment="1">
      <alignment horizontal="left" vertical="center"/>
    </xf>
    <xf numFmtId="9" fontId="22" fillId="0" borderId="1" xfId="9" applyFont="1" applyFill="1" applyBorder="1" applyAlignment="1">
      <alignment vertical="center"/>
    </xf>
    <xf numFmtId="170" fontId="22" fillId="0" borderId="1" xfId="5" applyNumberFormat="1" applyFont="1" applyFill="1" applyBorder="1" applyAlignment="1" applyProtection="1">
      <alignment horizontal="left" vertical="center"/>
    </xf>
    <xf numFmtId="170" fontId="22" fillId="0" borderId="1" xfId="5" applyNumberFormat="1" applyFont="1" applyFill="1" applyBorder="1" applyAlignment="1" applyProtection="1">
      <alignment vertical="center"/>
    </xf>
    <xf numFmtId="170" fontId="26" fillId="0" borderId="1" xfId="5" applyNumberFormat="1" applyFont="1" applyFill="1" applyBorder="1" applyAlignment="1" applyProtection="1">
      <alignment vertical="center"/>
    </xf>
    <xf numFmtId="0" fontId="28" fillId="4" borderId="1" xfId="0" applyFont="1" applyFill="1" applyBorder="1" applyAlignment="1">
      <alignment vertical="center"/>
    </xf>
    <xf numFmtId="10" fontId="22" fillId="0" borderId="1" xfId="5" applyNumberFormat="1" applyFont="1" applyFill="1" applyBorder="1" applyAlignment="1">
      <alignment vertical="center"/>
    </xf>
    <xf numFmtId="10" fontId="26" fillId="0" borderId="1" xfId="5" applyNumberFormat="1" applyFont="1" applyFill="1" applyBorder="1" applyAlignment="1">
      <alignment vertical="center"/>
    </xf>
    <xf numFmtId="0" fontId="27" fillId="17" borderId="1" xfId="0" applyFont="1" applyFill="1" applyBorder="1" applyAlignment="1">
      <alignment vertical="center"/>
    </xf>
    <xf numFmtId="0" fontId="29" fillId="11" borderId="1" xfId="0" applyFont="1" applyFill="1" applyBorder="1" applyAlignment="1">
      <alignment vertical="center"/>
    </xf>
    <xf numFmtId="0" fontId="28" fillId="11" borderId="1" xfId="0" applyFont="1" applyFill="1" applyBorder="1" applyAlignment="1">
      <alignment vertical="center"/>
    </xf>
    <xf numFmtId="0" fontId="21" fillId="17" borderId="1" xfId="0" applyFont="1" applyFill="1" applyBorder="1" applyAlignment="1">
      <alignment horizontal="centerContinuous" vertical="center"/>
    </xf>
    <xf numFmtId="0" fontId="23" fillId="0" borderId="1" xfId="0" applyFont="1" applyBorder="1" applyAlignment="1">
      <alignment horizontal="centerContinuous" vertical="center"/>
    </xf>
    <xf numFmtId="0" fontId="22" fillId="0" borderId="1" xfId="0" applyFont="1" applyBorder="1" applyAlignment="1">
      <alignment horizontal="centerContinuous" vertical="center"/>
    </xf>
    <xf numFmtId="0" fontId="22" fillId="9" borderId="1" xfId="0" applyFont="1" applyFill="1" applyBorder="1" applyAlignment="1">
      <alignment vertical="center"/>
    </xf>
    <xf numFmtId="176" fontId="22" fillId="9" borderId="1" xfId="0" applyNumberFormat="1" applyFont="1" applyFill="1" applyBorder="1" applyAlignment="1">
      <alignment vertical="center"/>
    </xf>
    <xf numFmtId="9" fontId="22" fillId="9" borderId="1" xfId="0" applyNumberFormat="1" applyFont="1" applyFill="1" applyBorder="1" applyAlignment="1">
      <alignment vertical="center"/>
    </xf>
    <xf numFmtId="0" fontId="22" fillId="12" borderId="1" xfId="0" applyFont="1" applyFill="1" applyBorder="1" applyAlignment="1">
      <alignment vertical="center"/>
    </xf>
    <xf numFmtId="9" fontId="22" fillId="12" borderId="1" xfId="9" applyFont="1" applyFill="1" applyBorder="1" applyAlignment="1">
      <alignment horizontal="right" vertical="center"/>
    </xf>
    <xf numFmtId="0" fontId="23" fillId="12" borderId="1" xfId="0" applyFont="1" applyFill="1" applyBorder="1" applyAlignment="1">
      <alignment vertical="center"/>
    </xf>
    <xf numFmtId="9" fontId="23" fillId="12" borderId="1" xfId="9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centerContinuous" vertical="center"/>
    </xf>
    <xf numFmtId="0" fontId="23" fillId="11" borderId="1" xfId="7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Continuous" vertical="center"/>
    </xf>
    <xf numFmtId="0" fontId="24" fillId="0" borderId="1" xfId="4" applyFont="1" applyBorder="1" applyAlignment="1" applyProtection="1">
      <alignment horizontal="center" vertical="center"/>
    </xf>
    <xf numFmtId="39" fontId="25" fillId="8" borderId="1" xfId="0" applyNumberFormat="1" applyFont="1" applyFill="1" applyBorder="1" applyAlignment="1">
      <alignment horizontal="center" vertical="center"/>
    </xf>
    <xf numFmtId="39" fontId="22" fillId="4" borderId="1" xfId="0" applyNumberFormat="1" applyFont="1" applyFill="1" applyBorder="1" applyAlignment="1">
      <alignment vertical="center"/>
    </xf>
    <xf numFmtId="39" fontId="22" fillId="0" borderId="1" xfId="0" applyNumberFormat="1" applyFont="1" applyBorder="1" applyAlignment="1">
      <alignment vertical="center"/>
    </xf>
    <xf numFmtId="37" fontId="23" fillId="6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vertical="center"/>
    </xf>
    <xf numFmtId="176" fontId="23" fillId="4" borderId="1" xfId="0" applyNumberFormat="1" applyFont="1" applyFill="1" applyBorder="1" applyAlignment="1">
      <alignment vertical="center"/>
    </xf>
    <xf numFmtId="38" fontId="23" fillId="4" borderId="1" xfId="0" applyNumberFormat="1" applyFont="1" applyFill="1" applyBorder="1" applyAlignment="1">
      <alignment vertical="center"/>
    </xf>
    <xf numFmtId="38" fontId="22" fillId="4" borderId="1" xfId="0" applyNumberFormat="1" applyFont="1" applyFill="1" applyBorder="1" applyAlignment="1">
      <alignment vertical="center"/>
    </xf>
    <xf numFmtId="38" fontId="2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37" fontId="22" fillId="0" borderId="1" xfId="0" applyNumberFormat="1" applyFont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left" vertical="center"/>
    </xf>
    <xf numFmtId="37" fontId="23" fillId="2" borderId="1" xfId="0" applyNumberFormat="1" applyFont="1" applyFill="1" applyBorder="1" applyAlignment="1">
      <alignment vertical="center"/>
    </xf>
    <xf numFmtId="170" fontId="22" fillId="0" borderId="1" xfId="5" applyNumberFormat="1" applyFont="1" applyBorder="1" applyAlignment="1">
      <alignment vertical="center"/>
    </xf>
    <xf numFmtId="170" fontId="22" fillId="0" borderId="1" xfId="5" applyNumberFormat="1" applyFont="1" applyBorder="1" applyAlignment="1" applyProtection="1">
      <alignment vertical="center"/>
    </xf>
    <xf numFmtId="0" fontId="25" fillId="11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vertical="center"/>
    </xf>
    <xf numFmtId="37" fontId="23" fillId="10" borderId="1" xfId="0" applyNumberFormat="1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37" fontId="23" fillId="3" borderId="1" xfId="0" applyNumberFormat="1" applyFont="1" applyFill="1" applyBorder="1" applyAlignment="1">
      <alignment vertical="center"/>
    </xf>
    <xf numFmtId="170" fontId="22" fillId="11" borderId="1" xfId="5" applyNumberFormat="1" applyFont="1" applyFill="1" applyBorder="1" applyAlignment="1">
      <alignment vertical="center"/>
    </xf>
    <xf numFmtId="0" fontId="24" fillId="11" borderId="1" xfId="4" applyFont="1" applyFill="1" applyBorder="1" applyAlignment="1" applyProtection="1">
      <alignment horizontal="center" vertical="center"/>
    </xf>
    <xf numFmtId="37" fontId="23" fillId="13" borderId="1" xfId="0" applyNumberFormat="1" applyFont="1" applyFill="1" applyBorder="1" applyAlignment="1">
      <alignment horizontal="left" vertical="center" wrapText="1"/>
    </xf>
    <xf numFmtId="3" fontId="23" fillId="14" borderId="1" xfId="0" applyNumberFormat="1" applyFont="1" applyFill="1" applyBorder="1" applyAlignment="1">
      <alignment vertical="center" wrapText="1"/>
    </xf>
    <xf numFmtId="9" fontId="22" fillId="11" borderId="1" xfId="9" applyFont="1" applyFill="1" applyBorder="1" applyAlignment="1">
      <alignment vertical="center"/>
    </xf>
    <xf numFmtId="0" fontId="22" fillId="11" borderId="1" xfId="7" applyFont="1" applyFill="1" applyBorder="1" applyAlignment="1">
      <alignment horizontal="left" vertical="center"/>
    </xf>
    <xf numFmtId="9" fontId="22" fillId="9" borderId="1" xfId="9" applyFont="1" applyFill="1" applyBorder="1" applyAlignment="1">
      <alignment vertical="center"/>
    </xf>
    <xf numFmtId="49" fontId="31" fillId="0" borderId="1" xfId="0" applyNumberFormat="1" applyFont="1" applyBorder="1" applyAlignment="1">
      <alignment horizontal="left" vertical="center"/>
    </xf>
    <xf numFmtId="49" fontId="31" fillId="16" borderId="1" xfId="0" applyNumberFormat="1" applyFont="1" applyFill="1" applyBorder="1" applyAlignment="1">
      <alignment horizontal="left" vertical="center"/>
    </xf>
    <xf numFmtId="3" fontId="22" fillId="16" borderId="1" xfId="0" applyNumberFormat="1" applyFont="1" applyFill="1" applyBorder="1" applyAlignment="1">
      <alignment vertical="center"/>
    </xf>
    <xf numFmtId="0" fontId="23" fillId="18" borderId="1" xfId="0" applyFont="1" applyFill="1" applyBorder="1" applyAlignment="1">
      <alignment vertical="center"/>
    </xf>
    <xf numFmtId="3" fontId="23" fillId="19" borderId="1" xfId="0" applyNumberFormat="1" applyFont="1" applyFill="1" applyBorder="1" applyAlignment="1">
      <alignment vertical="center" wrapText="1"/>
    </xf>
    <xf numFmtId="9" fontId="23" fillId="18" borderId="1" xfId="9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Continuous" vertical="center"/>
    </xf>
    <xf numFmtId="0" fontId="23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37" fontId="22" fillId="0" borderId="1" xfId="0" applyNumberFormat="1" applyFont="1" applyBorder="1" applyAlignment="1">
      <alignment horizontal="center" vertical="center"/>
    </xf>
    <xf numFmtId="167" fontId="22" fillId="0" borderId="1" xfId="5" applyFont="1" applyBorder="1" applyAlignment="1" applyProtection="1">
      <alignment vertical="center"/>
    </xf>
    <xf numFmtId="167" fontId="29" fillId="0" borderId="1" xfId="5" applyFont="1" applyBorder="1" applyAlignment="1" applyProtection="1">
      <alignment vertical="center"/>
    </xf>
    <xf numFmtId="0" fontId="22" fillId="15" borderId="1" xfId="0" applyFont="1" applyFill="1" applyBorder="1" applyAlignment="1">
      <alignment horizontal="left" vertical="center"/>
    </xf>
    <xf numFmtId="37" fontId="22" fillId="15" borderId="1" xfId="0" applyNumberFormat="1" applyFont="1" applyFill="1" applyBorder="1" applyAlignment="1">
      <alignment horizontal="center" vertical="center"/>
    </xf>
    <xf numFmtId="167" fontId="22" fillId="15" borderId="1" xfId="5" applyFont="1" applyFill="1" applyBorder="1" applyAlignment="1" applyProtection="1">
      <alignment vertical="center"/>
    </xf>
    <xf numFmtId="174" fontId="22" fillId="0" borderId="1" xfId="0" applyNumberFormat="1" applyFont="1" applyBorder="1" applyAlignment="1">
      <alignment horizontal="right" vertical="center"/>
    </xf>
    <xf numFmtId="0" fontId="22" fillId="15" borderId="1" xfId="0" applyFont="1" applyFill="1" applyBorder="1" applyAlignment="1">
      <alignment vertical="center"/>
    </xf>
    <xf numFmtId="0" fontId="22" fillId="15" borderId="1" xfId="0" applyFont="1" applyFill="1" applyBorder="1" applyAlignment="1">
      <alignment horizontal="center" vertical="center"/>
    </xf>
    <xf numFmtId="174" fontId="22" fillId="15" borderId="1" xfId="0" applyNumberFormat="1" applyFont="1" applyFill="1" applyBorder="1" applyAlignment="1">
      <alignment horizontal="right" vertical="center"/>
    </xf>
    <xf numFmtId="167" fontId="23" fillId="0" borderId="1" xfId="5" applyFont="1" applyBorder="1" applyAlignment="1" applyProtection="1">
      <alignment vertical="center"/>
    </xf>
    <xf numFmtId="37" fontId="23" fillId="2" borderId="1" xfId="0" applyNumberFormat="1" applyFont="1" applyFill="1" applyBorder="1" applyAlignment="1">
      <alignment horizontal="center" vertical="center"/>
    </xf>
    <xf numFmtId="167" fontId="23" fillId="2" borderId="1" xfId="5" applyFont="1" applyFill="1" applyBorder="1" applyAlignment="1" applyProtection="1">
      <alignment vertical="center"/>
    </xf>
    <xf numFmtId="170" fontId="29" fillId="0" borderId="1" xfId="5" applyNumberFormat="1" applyFont="1" applyBorder="1" applyAlignment="1" applyProtection="1">
      <alignment vertical="center"/>
    </xf>
    <xf numFmtId="38" fontId="22" fillId="0" borderId="1" xfId="0" applyNumberFormat="1" applyFont="1" applyBorder="1" applyAlignment="1">
      <alignment horizontal="right" vertical="center"/>
    </xf>
    <xf numFmtId="38" fontId="22" fillId="15" borderId="1" xfId="0" applyNumberFormat="1" applyFont="1" applyFill="1" applyBorder="1" applyAlignment="1">
      <alignment horizontal="right" vertical="center"/>
    </xf>
    <xf numFmtId="170" fontId="23" fillId="2" borderId="1" xfId="5" applyNumberFormat="1" applyFont="1" applyFill="1" applyBorder="1" applyAlignment="1" applyProtection="1">
      <alignment vertical="center"/>
    </xf>
    <xf numFmtId="3" fontId="22" fillId="9" borderId="1" xfId="0" applyNumberFormat="1" applyFont="1" applyFill="1" applyBorder="1" applyAlignment="1">
      <alignment vertical="center"/>
    </xf>
    <xf numFmtId="0" fontId="22" fillId="12" borderId="1" xfId="0" applyFont="1" applyFill="1" applyBorder="1" applyAlignment="1">
      <alignment horizontal="center" vertical="center"/>
    </xf>
    <xf numFmtId="164" fontId="22" fillId="12" borderId="1" xfId="0" applyNumberFormat="1" applyFont="1" applyFill="1" applyBorder="1" applyAlignment="1">
      <alignment horizontal="center" vertical="center"/>
    </xf>
    <xf numFmtId="10" fontId="22" fillId="9" borderId="1" xfId="0" applyNumberFormat="1" applyFont="1" applyFill="1" applyBorder="1" applyAlignment="1">
      <alignment vertical="center"/>
    </xf>
    <xf numFmtId="165" fontId="22" fillId="12" borderId="1" xfId="0" applyNumberFormat="1" applyFont="1" applyFill="1" applyBorder="1" applyAlignment="1">
      <alignment horizontal="left" vertical="center"/>
    </xf>
    <xf numFmtId="165" fontId="22" fillId="12" borderId="1" xfId="0" applyNumberFormat="1" applyFont="1" applyFill="1" applyBorder="1" applyAlignment="1">
      <alignment horizontal="center" vertical="center"/>
    </xf>
    <xf numFmtId="37" fontId="22" fillId="4" borderId="1" xfId="0" applyNumberFormat="1" applyFont="1" applyFill="1" applyBorder="1" applyAlignment="1">
      <alignment vertical="center"/>
    </xf>
    <xf numFmtId="169" fontId="22" fillId="4" borderId="1" xfId="0" applyNumberFormat="1" applyFont="1" applyFill="1" applyBorder="1" applyAlignment="1">
      <alignment horizontal="center" vertical="center"/>
    </xf>
    <xf numFmtId="167" fontId="22" fillId="4" borderId="1" xfId="5" applyFont="1" applyFill="1" applyBorder="1" applyAlignment="1" applyProtection="1">
      <alignment vertical="center"/>
    </xf>
    <xf numFmtId="165" fontId="22" fillId="4" borderId="1" xfId="5" applyNumberFormat="1" applyFont="1" applyFill="1" applyBorder="1" applyAlignment="1" applyProtection="1">
      <alignment vertical="center"/>
    </xf>
    <xf numFmtId="173" fontId="22" fillId="0" borderId="1" xfId="6" applyNumberFormat="1" applyFont="1" applyFill="1" applyBorder="1" applyAlignment="1">
      <alignment horizontal="center" vertical="center"/>
    </xf>
    <xf numFmtId="164" fontId="23" fillId="11" borderId="1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65" fontId="23" fillId="11" borderId="1" xfId="0" applyNumberFormat="1" applyFont="1" applyFill="1" applyBorder="1" applyAlignment="1">
      <alignment horizontal="left" vertical="center"/>
    </xf>
    <xf numFmtId="0" fontId="32" fillId="11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37" fontId="23" fillId="18" borderId="1" xfId="0" applyNumberFormat="1" applyFont="1" applyFill="1" applyBorder="1" applyAlignment="1">
      <alignment vertical="center"/>
    </xf>
    <xf numFmtId="0" fontId="33" fillId="18" borderId="1" xfId="0" applyFont="1" applyFill="1" applyBorder="1" applyAlignment="1">
      <alignment vertical="center"/>
    </xf>
    <xf numFmtId="165" fontId="33" fillId="18" borderId="1" xfId="0" applyNumberFormat="1" applyFont="1" applyFill="1" applyBorder="1" applyAlignment="1">
      <alignment vertical="center"/>
    </xf>
    <xf numFmtId="0" fontId="21" fillId="17" borderId="1" xfId="7" applyFont="1" applyFill="1" applyBorder="1" applyAlignment="1">
      <alignment vertical="center"/>
    </xf>
    <xf numFmtId="0" fontId="22" fillId="11" borderId="1" xfId="7" applyFont="1" applyFill="1" applyBorder="1" applyAlignment="1">
      <alignment vertical="center"/>
    </xf>
    <xf numFmtId="0" fontId="22" fillId="11" borderId="1" xfId="0" applyFont="1" applyFill="1" applyBorder="1" applyAlignment="1">
      <alignment horizontal="center" vertical="center"/>
    </xf>
    <xf numFmtId="0" fontId="23" fillId="0" borderId="1" xfId="7" applyFont="1" applyBorder="1" applyAlignment="1">
      <alignment horizontal="left" vertical="center"/>
    </xf>
    <xf numFmtId="3" fontId="25" fillId="8" borderId="1" xfId="3" quotePrefix="1" applyNumberFormat="1" applyFont="1" applyFill="1" applyBorder="1" applyAlignment="1">
      <alignment vertical="center"/>
    </xf>
    <xf numFmtId="3" fontId="25" fillId="8" borderId="1" xfId="3" applyNumberFormat="1" applyFont="1" applyFill="1" applyBorder="1" applyAlignment="1">
      <alignment vertical="center"/>
    </xf>
    <xf numFmtId="3" fontId="25" fillId="8" borderId="1" xfId="7" applyNumberFormat="1" applyFont="1" applyFill="1" applyBorder="1" applyAlignment="1">
      <alignment horizontal="center" vertical="center"/>
    </xf>
    <xf numFmtId="0" fontId="22" fillId="0" borderId="1" xfId="7" applyFont="1" applyBorder="1" applyAlignment="1">
      <alignment vertical="center"/>
    </xf>
    <xf numFmtId="0" fontId="23" fillId="11" borderId="1" xfId="7" applyFont="1" applyFill="1" applyBorder="1" applyAlignment="1">
      <alignment horizontal="left" vertical="center"/>
    </xf>
    <xf numFmtId="17" fontId="25" fillId="11" borderId="1" xfId="3" quotePrefix="1" applyNumberFormat="1" applyFont="1" applyFill="1" applyBorder="1" applyAlignment="1">
      <alignment horizontal="center" vertical="center"/>
    </xf>
    <xf numFmtId="17" fontId="25" fillId="11" borderId="1" xfId="3" applyNumberFormat="1" applyFont="1" applyFill="1" applyBorder="1" applyAlignment="1">
      <alignment horizontal="center" vertical="center"/>
    </xf>
    <xf numFmtId="0" fontId="25" fillId="11" borderId="1" xfId="7" applyFont="1" applyFill="1" applyBorder="1" applyAlignment="1">
      <alignment vertical="center"/>
    </xf>
    <xf numFmtId="0" fontId="23" fillId="11" borderId="1" xfId="7" applyFont="1" applyFill="1" applyBorder="1" applyAlignment="1">
      <alignment vertical="center"/>
    </xf>
    <xf numFmtId="37" fontId="23" fillId="11" borderId="1" xfId="7" applyNumberFormat="1" applyFont="1" applyFill="1" applyBorder="1" applyAlignment="1">
      <alignment vertical="center"/>
    </xf>
    <xf numFmtId="37" fontId="22" fillId="11" borderId="1" xfId="7" applyNumberFormat="1" applyFont="1" applyFill="1" applyBorder="1" applyAlignment="1">
      <alignment vertical="center"/>
    </xf>
    <xf numFmtId="0" fontId="23" fillId="0" borderId="1" xfId="7" applyFont="1" applyBorder="1" applyAlignment="1">
      <alignment vertical="center"/>
    </xf>
    <xf numFmtId="37" fontId="23" fillId="0" borderId="1" xfId="7" applyNumberFormat="1" applyFont="1" applyBorder="1" applyAlignment="1">
      <alignment vertical="center"/>
    </xf>
    <xf numFmtId="39" fontId="23" fillId="11" borderId="1" xfId="7" applyNumberFormat="1" applyFont="1" applyFill="1" applyBorder="1" applyAlignment="1">
      <alignment vertical="center"/>
    </xf>
    <xf numFmtId="180" fontId="23" fillId="11" borderId="1" xfId="1" applyNumberFormat="1" applyFont="1" applyFill="1" applyBorder="1" applyAlignment="1">
      <alignment vertical="center"/>
    </xf>
    <xf numFmtId="166" fontId="22" fillId="11" borderId="1" xfId="7" applyNumberFormat="1" applyFont="1" applyFill="1" applyBorder="1" applyAlignment="1">
      <alignment vertical="center"/>
    </xf>
    <xf numFmtId="170" fontId="22" fillId="12" borderId="1" xfId="5" applyNumberFormat="1" applyFont="1" applyFill="1" applyBorder="1" applyAlignment="1">
      <alignment vertical="center"/>
    </xf>
    <xf numFmtId="166" fontId="22" fillId="12" borderId="1" xfId="7" applyNumberFormat="1" applyFont="1" applyFill="1" applyBorder="1" applyAlignment="1">
      <alignment vertical="center"/>
    </xf>
    <xf numFmtId="9" fontId="22" fillId="12" borderId="1" xfId="9" applyFont="1" applyFill="1" applyBorder="1" applyAlignment="1">
      <alignment vertical="center"/>
    </xf>
    <xf numFmtId="170" fontId="22" fillId="12" borderId="1" xfId="5" quotePrefix="1" applyNumberFormat="1" applyFont="1" applyFill="1" applyBorder="1" applyAlignment="1">
      <alignment horizontal="left" vertical="center"/>
    </xf>
    <xf numFmtId="39" fontId="22" fillId="0" borderId="1" xfId="7" applyNumberFormat="1" applyFont="1" applyBorder="1" applyAlignment="1">
      <alignment vertical="center"/>
    </xf>
    <xf numFmtId="0" fontId="23" fillId="18" borderId="1" xfId="7" applyFont="1" applyFill="1" applyBorder="1" applyAlignment="1">
      <alignment vertical="center"/>
    </xf>
    <xf numFmtId="37" fontId="23" fillId="18" borderId="1" xfId="7" applyNumberFormat="1" applyFont="1" applyFill="1" applyBorder="1" applyAlignment="1">
      <alignment vertical="center"/>
    </xf>
    <xf numFmtId="49" fontId="21" fillId="17" borderId="1" xfId="0" applyNumberFormat="1" applyFont="1" applyFill="1" applyBorder="1" applyAlignment="1">
      <alignment horizontal="center" vertical="center"/>
    </xf>
    <xf numFmtId="49" fontId="21" fillId="17" borderId="1" xfId="0" applyNumberFormat="1" applyFont="1" applyFill="1" applyBorder="1" applyAlignment="1">
      <alignment horizontal="left" vertical="center"/>
    </xf>
    <xf numFmtId="181" fontId="21" fillId="17" borderId="1" xfId="0" applyNumberFormat="1" applyFont="1" applyFill="1" applyBorder="1" applyAlignment="1">
      <alignment horizontal="right" vertical="center"/>
    </xf>
    <xf numFmtId="182" fontId="21" fillId="17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Border="1" applyAlignment="1">
      <alignment horizontal="right" vertical="center"/>
    </xf>
    <xf numFmtId="182" fontId="34" fillId="0" borderId="1" xfId="0" applyNumberFormat="1" applyFont="1" applyBorder="1" applyAlignment="1">
      <alignment horizontal="right" vertical="center"/>
    </xf>
    <xf numFmtId="0" fontId="31" fillId="0" borderId="1" xfId="0" applyFont="1" applyBorder="1" applyAlignment="1">
      <alignment vertical="center"/>
    </xf>
    <xf numFmtId="49" fontId="22" fillId="0" borderId="1" xfId="0" applyNumberFormat="1" applyFont="1" applyBorder="1" applyAlignment="1">
      <alignment horizontal="left" vertical="center"/>
    </xf>
    <xf numFmtId="182" fontId="22" fillId="0" borderId="1" xfId="0" applyNumberFormat="1" applyFont="1" applyBorder="1" applyAlignment="1">
      <alignment horizontal="right" vertical="center"/>
    </xf>
    <xf numFmtId="182" fontId="23" fillId="0" borderId="1" xfId="0" applyNumberFormat="1" applyFont="1" applyBorder="1" applyAlignment="1">
      <alignment horizontal="right" vertical="center"/>
    </xf>
    <xf numFmtId="49" fontId="31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81" fontId="31" fillId="0" borderId="1" xfId="0" applyNumberFormat="1" applyFont="1" applyBorder="1" applyAlignment="1">
      <alignment horizontal="right" vertical="center"/>
    </xf>
    <xf numFmtId="49" fontId="34" fillId="18" borderId="1" xfId="0" applyNumberFormat="1" applyFont="1" applyFill="1" applyBorder="1" applyAlignment="1">
      <alignment horizontal="left" vertical="center"/>
    </xf>
    <xf numFmtId="182" fontId="34" fillId="18" borderId="1" xfId="0" applyNumberFormat="1" applyFont="1" applyFill="1" applyBorder="1" applyAlignment="1">
      <alignment horizontal="right" vertical="center"/>
    </xf>
    <xf numFmtId="0" fontId="34" fillId="18" borderId="1" xfId="0" applyFont="1" applyFill="1" applyBorder="1" applyAlignment="1">
      <alignment vertical="center"/>
    </xf>
    <xf numFmtId="10" fontId="22" fillId="4" borderId="1" xfId="0" applyNumberFormat="1" applyFont="1" applyFill="1" applyBorder="1" applyAlignment="1">
      <alignment vertical="center"/>
    </xf>
    <xf numFmtId="178" fontId="22" fillId="0" borderId="1" xfId="0" applyNumberFormat="1" applyFont="1" applyBorder="1" applyAlignment="1">
      <alignment vertical="center"/>
    </xf>
    <xf numFmtId="178" fontId="22" fillId="4" borderId="1" xfId="5" applyNumberFormat="1" applyFont="1" applyFill="1" applyBorder="1" applyAlignment="1" applyProtection="1">
      <alignment vertical="center"/>
    </xf>
    <xf numFmtId="178" fontId="22" fillId="0" borderId="1" xfId="6" applyNumberFormat="1" applyFont="1" applyFill="1" applyBorder="1" applyAlignment="1">
      <alignment horizontal="center" vertical="center"/>
    </xf>
    <xf numFmtId="165" fontId="22" fillId="4" borderId="1" xfId="0" applyNumberFormat="1" applyFont="1" applyFill="1" applyBorder="1" applyAlignment="1">
      <alignment vertical="center"/>
    </xf>
    <xf numFmtId="178" fontId="32" fillId="0" borderId="1" xfId="0" applyNumberFormat="1" applyFont="1" applyBorder="1" applyAlignment="1">
      <alignment vertical="center"/>
    </xf>
    <xf numFmtId="0" fontId="32" fillId="4" borderId="1" xfId="0" applyFont="1" applyFill="1" applyBorder="1" applyAlignment="1">
      <alignment vertical="center"/>
    </xf>
    <xf numFmtId="178" fontId="23" fillId="18" borderId="1" xfId="0" applyNumberFormat="1" applyFont="1" applyFill="1" applyBorder="1" applyAlignment="1">
      <alignment vertical="center"/>
    </xf>
    <xf numFmtId="178" fontId="33" fillId="18" borderId="1" xfId="0" applyNumberFormat="1" applyFont="1" applyFill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4" fontId="22" fillId="0" borderId="1" xfId="0" applyNumberFormat="1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3" fontId="22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10" fontId="28" fillId="0" borderId="1" xfId="0" applyNumberFormat="1" applyFont="1" applyBorder="1" applyAlignment="1">
      <alignment vertical="center"/>
    </xf>
    <xf numFmtId="3" fontId="35" fillId="0" borderId="1" xfId="0" applyNumberFormat="1" applyFont="1" applyBorder="1" applyAlignment="1">
      <alignment vertical="center"/>
    </xf>
    <xf numFmtId="10" fontId="22" fillId="0" borderId="1" xfId="0" applyNumberFormat="1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3" fontId="26" fillId="0" borderId="1" xfId="0" applyNumberFormat="1" applyFont="1" applyBorder="1" applyAlignment="1">
      <alignment vertical="center"/>
    </xf>
    <xf numFmtId="176" fontId="22" fillId="0" borderId="1" xfId="9" applyNumberFormat="1" applyFont="1" applyBorder="1" applyAlignment="1">
      <alignment vertical="center"/>
    </xf>
    <xf numFmtId="176" fontId="22" fillId="0" borderId="1" xfId="0" applyNumberFormat="1" applyFont="1" applyBorder="1" applyAlignment="1">
      <alignment vertical="center"/>
    </xf>
    <xf numFmtId="0" fontId="22" fillId="7" borderId="1" xfId="0" applyFont="1" applyFill="1" applyBorder="1" applyAlignment="1">
      <alignment vertical="center"/>
    </xf>
    <xf numFmtId="175" fontId="22" fillId="7" borderId="1" xfId="0" applyNumberFormat="1" applyFont="1" applyFill="1" applyBorder="1" applyAlignment="1">
      <alignment vertical="center"/>
    </xf>
    <xf numFmtId="4" fontId="23" fillId="18" borderId="1" xfId="0" applyNumberFormat="1" applyFont="1" applyFill="1" applyBorder="1" applyAlignment="1">
      <alignment vertical="center"/>
    </xf>
    <xf numFmtId="3" fontId="23" fillId="18" borderId="1" xfId="0" applyNumberFormat="1" applyFont="1" applyFill="1" applyBorder="1" applyAlignment="1">
      <alignment horizontal="center" vertical="center"/>
    </xf>
    <xf numFmtId="3" fontId="23" fillId="18" borderId="1" xfId="0" applyNumberFormat="1" applyFont="1" applyFill="1" applyBorder="1" applyAlignment="1">
      <alignment horizontal="right" vertical="center"/>
    </xf>
    <xf numFmtId="0" fontId="30" fillId="18" borderId="1" xfId="0" applyFont="1" applyFill="1" applyBorder="1" applyAlignment="1">
      <alignment vertical="center"/>
    </xf>
    <xf numFmtId="3" fontId="23" fillId="18" borderId="1" xfId="0" applyNumberFormat="1" applyFont="1" applyFill="1" applyBorder="1" applyAlignment="1">
      <alignment vertical="center"/>
    </xf>
    <xf numFmtId="170" fontId="23" fillId="0" borderId="1" xfId="5" applyNumberFormat="1" applyFont="1" applyFill="1" applyBorder="1" applyAlignment="1" applyProtection="1">
      <alignment horizontal="center" vertical="center"/>
    </xf>
    <xf numFmtId="170" fontId="22" fillId="5" borderId="1" xfId="5" applyNumberFormat="1" applyFont="1" applyFill="1" applyBorder="1" applyAlignment="1">
      <alignment horizontal="left" vertical="center"/>
    </xf>
    <xf numFmtId="170" fontId="22" fillId="5" borderId="1" xfId="5" applyNumberFormat="1" applyFont="1" applyFill="1" applyBorder="1" applyAlignment="1">
      <alignment vertical="center"/>
    </xf>
    <xf numFmtId="3" fontId="22" fillId="5" borderId="1" xfId="5" applyNumberFormat="1" applyFont="1" applyFill="1" applyBorder="1" applyAlignment="1" applyProtection="1">
      <alignment vertical="center"/>
    </xf>
    <xf numFmtId="38" fontId="22" fillId="4" borderId="1" xfId="5" applyNumberFormat="1" applyFont="1" applyFill="1" applyBorder="1" applyAlignment="1" applyProtection="1">
      <alignment vertical="center"/>
    </xf>
    <xf numFmtId="170" fontId="23" fillId="4" borderId="1" xfId="5" applyNumberFormat="1" applyFont="1" applyFill="1" applyBorder="1" applyAlignment="1">
      <alignment vertical="center"/>
    </xf>
    <xf numFmtId="170" fontId="21" fillId="17" borderId="1" xfId="5" applyNumberFormat="1" applyFont="1" applyFill="1" applyBorder="1" applyAlignment="1">
      <alignment horizontal="center" vertical="center"/>
    </xf>
    <xf numFmtId="170" fontId="23" fillId="4" borderId="1" xfId="5" applyNumberFormat="1" applyFont="1" applyFill="1" applyBorder="1" applyAlignment="1">
      <alignment horizontal="center" vertical="center"/>
    </xf>
    <xf numFmtId="170" fontId="23" fillId="0" borderId="1" xfId="5" applyNumberFormat="1" applyFont="1" applyBorder="1" applyAlignment="1">
      <alignment horizontal="center" vertical="center"/>
    </xf>
    <xf numFmtId="170" fontId="23" fillId="6" borderId="1" xfId="5" applyNumberFormat="1" applyFont="1" applyFill="1" applyBorder="1" applyAlignment="1" applyProtection="1">
      <alignment horizontal="center" vertical="center"/>
    </xf>
    <xf numFmtId="0" fontId="37" fillId="0" borderId="1" xfId="0" applyFont="1" applyBorder="1" applyAlignment="1">
      <alignment vertical="center"/>
    </xf>
    <xf numFmtId="170" fontId="23" fillId="4" borderId="1" xfId="5" applyNumberFormat="1" applyFont="1" applyFill="1" applyBorder="1" applyAlignment="1" applyProtection="1">
      <alignment horizontal="right" vertical="center"/>
    </xf>
    <xf numFmtId="170" fontId="22" fillId="4" borderId="1" xfId="5" applyNumberFormat="1" applyFont="1" applyFill="1" applyBorder="1" applyAlignment="1">
      <alignment horizontal="left" vertical="center"/>
    </xf>
    <xf numFmtId="170" fontId="22" fillId="4" borderId="1" xfId="5" applyNumberFormat="1" applyFont="1" applyFill="1" applyBorder="1" applyAlignment="1">
      <alignment horizontal="right" vertical="center"/>
    </xf>
    <xf numFmtId="170" fontId="22" fillId="4" borderId="1" xfId="5" applyNumberFormat="1" applyFont="1" applyFill="1" applyBorder="1" applyAlignment="1" applyProtection="1">
      <alignment horizontal="center" vertical="center"/>
    </xf>
    <xf numFmtId="170" fontId="22" fillId="4" borderId="1" xfId="5" applyNumberFormat="1" applyFont="1" applyFill="1" applyBorder="1" applyAlignment="1">
      <alignment horizontal="center" vertical="center"/>
    </xf>
    <xf numFmtId="167" fontId="22" fillId="0" borderId="1" xfId="0" applyNumberFormat="1" applyFont="1" applyBorder="1" applyAlignment="1">
      <alignment vertical="center"/>
    </xf>
    <xf numFmtId="2" fontId="22" fillId="4" borderId="1" xfId="5" applyNumberFormat="1" applyFont="1" applyFill="1" applyBorder="1" applyAlignment="1">
      <alignment vertical="center"/>
    </xf>
    <xf numFmtId="170" fontId="22" fillId="4" borderId="1" xfId="5" applyNumberFormat="1" applyFont="1" applyFill="1" applyBorder="1" applyAlignment="1" applyProtection="1">
      <alignment horizontal="right" vertical="center"/>
    </xf>
    <xf numFmtId="3" fontId="22" fillId="4" borderId="1" xfId="0" applyNumberFormat="1" applyFont="1" applyFill="1" applyBorder="1" applyAlignment="1">
      <alignment horizontal="center" vertical="center"/>
    </xf>
    <xf numFmtId="170" fontId="23" fillId="4" borderId="1" xfId="5" applyNumberFormat="1" applyFont="1" applyFill="1" applyBorder="1" applyAlignment="1">
      <alignment horizontal="left" vertical="center"/>
    </xf>
    <xf numFmtId="170" fontId="22" fillId="4" borderId="1" xfId="5" applyNumberFormat="1" applyFont="1" applyFill="1" applyBorder="1" applyAlignment="1" applyProtection="1">
      <alignment vertical="center"/>
    </xf>
    <xf numFmtId="177" fontId="22" fillId="4" borderId="1" xfId="5" applyNumberFormat="1" applyFont="1" applyFill="1" applyBorder="1" applyAlignment="1">
      <alignment horizontal="center" vertical="center"/>
    </xf>
    <xf numFmtId="170" fontId="38" fillId="4" borderId="1" xfId="5" applyNumberFormat="1" applyFont="1" applyFill="1" applyBorder="1" applyAlignment="1" applyProtection="1">
      <alignment vertical="center"/>
    </xf>
    <xf numFmtId="170" fontId="39" fillId="4" borderId="1" xfId="5" applyNumberFormat="1" applyFont="1" applyFill="1" applyBorder="1" applyAlignment="1">
      <alignment vertical="center"/>
    </xf>
    <xf numFmtId="170" fontId="40" fillId="4" borderId="1" xfId="5" applyNumberFormat="1" applyFont="1" applyFill="1" applyBorder="1" applyAlignment="1">
      <alignment vertical="center"/>
    </xf>
    <xf numFmtId="170" fontId="40" fillId="4" borderId="1" xfId="5" applyNumberFormat="1" applyFont="1" applyFill="1" applyBorder="1" applyAlignment="1" applyProtection="1">
      <alignment vertical="center"/>
    </xf>
    <xf numFmtId="170" fontId="39" fillId="4" borderId="1" xfId="5" applyNumberFormat="1" applyFont="1" applyFill="1" applyBorder="1" applyAlignment="1" applyProtection="1">
      <alignment vertical="center"/>
    </xf>
    <xf numFmtId="170" fontId="22" fillId="0" borderId="1" xfId="0" applyNumberFormat="1" applyFont="1" applyBorder="1" applyAlignment="1">
      <alignment vertical="center"/>
    </xf>
    <xf numFmtId="170" fontId="23" fillId="0" borderId="1" xfId="5" applyNumberFormat="1" applyFont="1" applyBorder="1" applyAlignment="1">
      <alignment vertical="center"/>
    </xf>
    <xf numFmtId="0" fontId="23" fillId="0" borderId="1" xfId="8" applyFont="1" applyBorder="1" applyAlignment="1">
      <alignment vertical="center" wrapText="1"/>
    </xf>
    <xf numFmtId="0" fontId="22" fillId="0" borderId="1" xfId="8" applyFont="1" applyBorder="1" applyAlignment="1">
      <alignment vertical="center" wrapText="1"/>
    </xf>
    <xf numFmtId="172" fontId="22" fillId="0" borderId="1" xfId="0" applyNumberFormat="1" applyFont="1" applyBorder="1" applyAlignment="1">
      <alignment vertical="center"/>
    </xf>
    <xf numFmtId="179" fontId="22" fillId="0" borderId="1" xfId="0" applyNumberFormat="1" applyFont="1" applyBorder="1" applyAlignment="1">
      <alignment vertical="center"/>
    </xf>
    <xf numFmtId="39" fontId="41" fillId="11" borderId="1" xfId="0" applyNumberFormat="1" applyFont="1" applyFill="1" applyBorder="1" applyAlignment="1">
      <alignment vertical="center"/>
    </xf>
    <xf numFmtId="0" fontId="42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vertical="center"/>
    </xf>
    <xf numFmtId="0" fontId="22" fillId="11" borderId="2" xfId="0" applyFont="1" applyFill="1" applyBorder="1" applyAlignment="1">
      <alignment vertical="center"/>
    </xf>
    <xf numFmtId="0" fontId="22" fillId="11" borderId="3" xfId="0" applyFont="1" applyFill="1" applyBorder="1" applyAlignment="1">
      <alignment vertical="center"/>
    </xf>
    <xf numFmtId="0" fontId="22" fillId="11" borderId="4" xfId="0" applyFont="1" applyFill="1" applyBorder="1" applyAlignment="1">
      <alignment vertical="center"/>
    </xf>
    <xf numFmtId="0" fontId="22" fillId="11" borderId="5" xfId="0" applyFont="1" applyFill="1" applyBorder="1" applyAlignment="1">
      <alignment vertical="center"/>
    </xf>
    <xf numFmtId="0" fontId="22" fillId="11" borderId="6" xfId="0" applyFont="1" applyFill="1" applyBorder="1" applyAlignment="1">
      <alignment vertical="center"/>
    </xf>
    <xf numFmtId="0" fontId="42" fillId="11" borderId="7" xfId="0" applyFont="1" applyFill="1" applyBorder="1" applyAlignment="1">
      <alignment horizontal="left" vertical="center"/>
    </xf>
    <xf numFmtId="0" fontId="22" fillId="11" borderId="8" xfId="0" applyFont="1" applyFill="1" applyBorder="1" applyAlignment="1">
      <alignment vertical="center"/>
    </xf>
    <xf numFmtId="0" fontId="22" fillId="11" borderId="9" xfId="0" applyFont="1" applyFill="1" applyBorder="1" applyAlignment="1">
      <alignment vertical="center"/>
    </xf>
    <xf numFmtId="0" fontId="22" fillId="11" borderId="10" xfId="0" applyFont="1" applyFill="1" applyBorder="1" applyAlignment="1">
      <alignment vertical="center"/>
    </xf>
    <xf numFmtId="0" fontId="22" fillId="11" borderId="11" xfId="0" applyFont="1" applyFill="1" applyBorder="1" applyAlignment="1">
      <alignment vertical="center"/>
    </xf>
    <xf numFmtId="0" fontId="22" fillId="11" borderId="12" xfId="0" applyFont="1" applyFill="1" applyBorder="1" applyAlignment="1">
      <alignment vertical="center"/>
    </xf>
    <xf numFmtId="0" fontId="22" fillId="11" borderId="13" xfId="0" applyFont="1" applyFill="1" applyBorder="1" applyAlignment="1">
      <alignment vertical="center"/>
    </xf>
    <xf numFmtId="0" fontId="22" fillId="11" borderId="7" xfId="0" applyFont="1" applyFill="1" applyBorder="1" applyAlignment="1">
      <alignment vertical="center"/>
    </xf>
    <xf numFmtId="0" fontId="22" fillId="11" borderId="14" xfId="0" applyFont="1" applyFill="1" applyBorder="1" applyAlignment="1">
      <alignment vertical="center"/>
    </xf>
    <xf numFmtId="0" fontId="43" fillId="11" borderId="12" xfId="0" applyFont="1" applyFill="1" applyBorder="1" applyAlignment="1">
      <alignment vertical="center"/>
    </xf>
    <xf numFmtId="0" fontId="22" fillId="11" borderId="15" xfId="0" applyFont="1" applyFill="1" applyBorder="1" applyAlignment="1">
      <alignment vertical="center"/>
    </xf>
    <xf numFmtId="0" fontId="22" fillId="11" borderId="16" xfId="0" applyFont="1" applyFill="1" applyBorder="1" applyAlignment="1">
      <alignment vertical="center"/>
    </xf>
    <xf numFmtId="0" fontId="22" fillId="11" borderId="17" xfId="0" applyFont="1" applyFill="1" applyBorder="1" applyAlignment="1">
      <alignment vertical="center"/>
    </xf>
    <xf numFmtId="0" fontId="22" fillId="11" borderId="18" xfId="0" applyFont="1" applyFill="1" applyBorder="1" applyAlignment="1">
      <alignment vertical="center"/>
    </xf>
    <xf numFmtId="0" fontId="3" fillId="11" borderId="1" xfId="4" applyFill="1" applyBorder="1" applyAlignment="1" applyProtection="1">
      <alignment vertical="center"/>
    </xf>
    <xf numFmtId="0" fontId="3" fillId="17" borderId="1" xfId="4" applyFill="1" applyBorder="1" applyAlignment="1" applyProtection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37" fontId="23" fillId="6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39" fontId="25" fillId="8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11" borderId="1" xfId="7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0" fontId="23" fillId="4" borderId="1" xfId="5" applyNumberFormat="1" applyFont="1" applyFill="1" applyBorder="1" applyAlignment="1" applyProtection="1">
      <alignment horizontal="center" vertical="center" wrapText="1"/>
    </xf>
    <xf numFmtId="170" fontId="22" fillId="4" borderId="1" xfId="5" applyNumberFormat="1" applyFont="1" applyFill="1" applyBorder="1" applyAlignment="1">
      <alignment horizontal="center" vertical="center" wrapText="1"/>
    </xf>
    <xf numFmtId="170" fontId="23" fillId="4" borderId="1" xfId="5" applyNumberFormat="1" applyFont="1" applyFill="1" applyBorder="1" applyAlignment="1">
      <alignment horizontal="center" vertical="center" wrapText="1"/>
    </xf>
    <xf numFmtId="0" fontId="21" fillId="17" borderId="1" xfId="8" applyFont="1" applyFill="1" applyBorder="1" applyAlignment="1">
      <alignment horizontal="center" vertical="center" wrapText="1"/>
    </xf>
  </cellXfs>
  <cellStyles count="10">
    <cellStyle name="Comma" xfId="5" builtinId="3"/>
    <cellStyle name="Currency" xfId="6" builtinId="4"/>
    <cellStyle name="Currency with doble underline 2" xfId="1" xr:uid="{7446E45B-481F-4A8C-B81F-F3D513B182F4}"/>
    <cellStyle name="Euro" xfId="2" xr:uid="{8911107A-C97B-41B3-9B87-5CFBD2E8F705}"/>
    <cellStyle name="Heading No Underline" xfId="3" xr:uid="{4E37FE3D-C78A-42F4-A861-AB2C8DB4CA25}"/>
    <cellStyle name="Hyperlink" xfId="4" builtinId="8"/>
    <cellStyle name="Normal" xfId="0" builtinId="0"/>
    <cellStyle name="Normal 2" xfId="7" xr:uid="{5D48E71B-4871-41F0-AF96-9CD8A4B51E9A}"/>
    <cellStyle name="Normal_Caso Toy" xfId="8" xr:uid="{E5C133D8-BF9D-4254-ADDA-17E6E40DFE24}"/>
    <cellStyle name="Percent" xfId="9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Utilidades Netas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2266139657444E-2"/>
          <c:y val="0.15258855585831063"/>
          <c:w val="0.88669301712779969"/>
          <c:h val="0.6267029972752044"/>
        </c:manualLayout>
      </c:layout>
      <c:lineChart>
        <c:grouping val="standard"/>
        <c:varyColors val="0"/>
        <c:ser>
          <c:idx val="0"/>
          <c:order val="0"/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(Old)'!$C$42:$J$42</c:f>
              <c:numCache>
                <c:formatCode>_(* #,##0_);_(* \(#,##0\);_(* "-"??_);_(@_)</c:formatCode>
                <c:ptCount val="8"/>
                <c:pt idx="0">
                  <c:v>10233</c:v>
                </c:pt>
                <c:pt idx="1">
                  <c:v>0</c:v>
                </c:pt>
                <c:pt idx="2">
                  <c:v>102850.164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5-4020-898D-D5CC8D6C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964656"/>
        <c:axId val="1"/>
      </c:lineChart>
      <c:catAx>
        <c:axId val="17659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6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661558852711841"/>
          <c:y val="0.91070505083037778"/>
          <c:w val="0.11003572470957991"/>
          <c:h val="6.1004166084331533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Margenes Rentabilidad VS Años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(Old)'!$B$45</c:f>
              <c:strCache>
                <c:ptCount val="1"/>
                <c:pt idx="0">
                  <c:v> Gross Margin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(Old)'!$C$45:$J$45</c:f>
              <c:numCache>
                <c:formatCode>0%</c:formatCode>
                <c:ptCount val="8"/>
                <c:pt idx="0">
                  <c:v>0.66999987075038026</c:v>
                </c:pt>
                <c:pt idx="1">
                  <c:v>0</c:v>
                </c:pt>
                <c:pt idx="2">
                  <c:v>0.60044075216097659</c:v>
                </c:pt>
                <c:pt idx="3">
                  <c:v>0.56241499487882507</c:v>
                </c:pt>
                <c:pt idx="4">
                  <c:v>0.48559649282580536</c:v>
                </c:pt>
                <c:pt idx="5">
                  <c:v>0.5495336811764987</c:v>
                </c:pt>
                <c:pt idx="6">
                  <c:v>0.56854443576496583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4-430D-A61A-AC400ED5A4D7}"/>
            </c:ext>
          </c:extLst>
        </c:ser>
        <c:ser>
          <c:idx val="1"/>
          <c:order val="1"/>
          <c:tx>
            <c:strRef>
              <c:f>'P&amp;L (Old)'!$B$46</c:f>
              <c:strCache>
                <c:ptCount val="1"/>
                <c:pt idx="0">
                  <c:v> Margin Operativo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(Old)'!$C$46:$J$46</c:f>
              <c:numCache>
                <c:formatCode>0%</c:formatCode>
                <c:ptCount val="8"/>
                <c:pt idx="0">
                  <c:v>0.2265875084550793</c:v>
                </c:pt>
                <c:pt idx="1">
                  <c:v>0</c:v>
                </c:pt>
                <c:pt idx="2">
                  <c:v>0.24890787739403783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C4-430D-A61A-AC400ED5A4D7}"/>
            </c:ext>
          </c:extLst>
        </c:ser>
        <c:ser>
          <c:idx val="2"/>
          <c:order val="2"/>
          <c:tx>
            <c:strRef>
              <c:f>'P&amp;L (Old)'!$B$47</c:f>
              <c:strCache>
                <c:ptCount val="1"/>
                <c:pt idx="0">
                  <c:v> Margin Neto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(Old)'!$C$47:$J$47</c:f>
              <c:numCache>
                <c:formatCode>0%</c:formatCode>
                <c:ptCount val="8"/>
                <c:pt idx="0">
                  <c:v>4.4087045310608378E-2</c:v>
                </c:pt>
                <c:pt idx="1">
                  <c:v>0</c:v>
                </c:pt>
                <c:pt idx="2">
                  <c:v>0.15439861048978135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C4-430D-A61A-AC400ED5A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957696"/>
        <c:axId val="1"/>
      </c:lineChart>
      <c:catAx>
        <c:axId val="17659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5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83873488318253"/>
          <c:y val="0.91166626254831884"/>
          <c:w val="0.63235309516555693"/>
          <c:h val="6.0346702958281151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Ventas VS Costos y Gastos</a:t>
            </a:r>
          </a:p>
        </c:rich>
      </c:tx>
      <c:layout>
        <c:manualLayout>
          <c:xMode val="edge"/>
          <c:yMode val="edge"/>
          <c:x val="0.3317540520705054"/>
          <c:y val="3.47826086956521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07922047668049"/>
          <c:y val="0.22898615541823883"/>
          <c:w val="0.82306604071947931"/>
          <c:h val="0.53043628407009757"/>
        </c:manualLayout>
      </c:layout>
      <c:lineChart>
        <c:grouping val="standard"/>
        <c:varyColors val="0"/>
        <c:ser>
          <c:idx val="0"/>
          <c:order val="0"/>
          <c:tx>
            <c:strRef>
              <c:f>'P&amp;L (Old)'!$B$9</c:f>
              <c:strCache>
                <c:ptCount val="1"/>
                <c:pt idx="0">
                  <c:v> SALES </c:v>
                </c:pt>
              </c:strCache>
            </c:strRef>
          </c:tx>
          <c:cat>
            <c:strRef>
              <c:f>'P&amp;L (Old)'!$C$6:$G$6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(Old)'!$C$9:$G$9</c:f>
              <c:numCache>
                <c:formatCode>#,##0</c:formatCode>
                <c:ptCount val="5"/>
                <c:pt idx="0" formatCode="_(* #,##0_);_(* \(#,##0\);_(* &quot;-&quot;??_);_(@_)">
                  <c:v>232109</c:v>
                </c:pt>
                <c:pt idx="1">
                  <c:v>0</c:v>
                </c:pt>
                <c:pt idx="2">
                  <c:v>666134</c:v>
                </c:pt>
                <c:pt idx="3">
                  <c:v>1018321</c:v>
                </c:pt>
                <c:pt idx="4">
                  <c:v>1457273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D-413A-8CD7-08FB40A7A15E}"/>
            </c:ext>
          </c:extLst>
        </c:ser>
        <c:ser>
          <c:idx val="1"/>
          <c:order val="1"/>
          <c:tx>
            <c:v>Costo de ventas</c:v>
          </c:tx>
          <c:cat>
            <c:strRef>
              <c:f>'P&amp;L (Old)'!$C$6:$G$6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(Old)'!$B$11:$G$11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76596</c:v>
                </c:pt>
                <c:pt idx="2" formatCode="#,##0">
                  <c:v>0</c:v>
                </c:pt>
                <c:pt idx="3" formatCode="#,##0">
                  <c:v>266160</c:v>
                </c:pt>
                <c:pt idx="4" formatCode="#,##0">
                  <c:v>445602</c:v>
                </c:pt>
                <c:pt idx="5" formatCode="#,##0">
                  <c:v>749626.34211026016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5D-413A-8CD7-08FB40A7A15E}"/>
            </c:ext>
          </c:extLst>
        </c:ser>
        <c:ser>
          <c:idx val="2"/>
          <c:order val="2"/>
          <c:tx>
            <c:v>Gastos Adm y Gnrles</c:v>
          </c:tx>
          <c:cat>
            <c:strRef>
              <c:f>'P&amp;L (Old)'!$C$6:$G$6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(Old)'!$B$15:$G$15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102920</c:v>
                </c:pt>
                <c:pt idx="2" formatCode="#,##0">
                  <c:v>139066.51</c:v>
                </c:pt>
                <c:pt idx="3" formatCode="#,##0">
                  <c:v>234168</c:v>
                </c:pt>
                <c:pt idx="4" formatCode="#,##0">
                  <c:v>0</c:v>
                </c:pt>
                <c:pt idx="5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D-413A-8CD7-08FB40A7A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02608"/>
        <c:axId val="1"/>
      </c:lineChart>
      <c:catAx>
        <c:axId val="189790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90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583880622742187"/>
          <c:y val="0.87473677487434665"/>
          <c:w val="0.65590737864097981"/>
          <c:h val="6.7287444221103582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70731707317074"/>
          <c:y val="4.1055718475073312E-2"/>
          <c:w val="0.55934959349593494"/>
          <c:h val="0.63343108504398826"/>
        </c:manualLayout>
      </c:layout>
      <c:lineChart>
        <c:grouping val="standard"/>
        <c:varyColors val="0"/>
        <c:ser>
          <c:idx val="0"/>
          <c:order val="0"/>
          <c:tx>
            <c:strRef>
              <c:f>'P&amp;L (Old)'!$B$9</c:f>
              <c:strCache>
                <c:ptCount val="1"/>
                <c:pt idx="0">
                  <c:v> SALES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(Old)'!$C$9:$J$9</c:f>
              <c:numCache>
                <c:formatCode>#,##0</c:formatCode>
                <c:ptCount val="8"/>
                <c:pt idx="0" formatCode="_(* #,##0_);_(* \(#,##0\);_(* &quot;-&quot;??_);_(@_)">
                  <c:v>232109</c:v>
                </c:pt>
                <c:pt idx="1">
                  <c:v>0</c:v>
                </c:pt>
                <c:pt idx="2">
                  <c:v>666134</c:v>
                </c:pt>
                <c:pt idx="3">
                  <c:v>1018321</c:v>
                </c:pt>
                <c:pt idx="4">
                  <c:v>1457273</c:v>
                </c:pt>
                <c:pt idx="5">
                  <c:v>1868951.6692504338</c:v>
                </c:pt>
                <c:pt idx="6">
                  <c:v>2172293.1791104684</c:v>
                </c:pt>
                <c:pt idx="7">
                  <c:v>2499902.009759306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8-41C0-B0F8-932C667CF6CF}"/>
            </c:ext>
          </c:extLst>
        </c:ser>
        <c:ser>
          <c:idx val="1"/>
          <c:order val="1"/>
          <c:tx>
            <c:strRef>
              <c:f>'P&amp;L (Old)'!$B$11</c:f>
              <c:strCache>
                <c:ptCount val="1"/>
                <c:pt idx="0">
                  <c:v> COST OF SALES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(Old)'!$C$11:$J$11</c:f>
              <c:numCache>
                <c:formatCode>#,##0</c:formatCode>
                <c:ptCount val="8"/>
                <c:pt idx="0" formatCode="_(* #,##0_);_(* \(#,##0\);_(* &quot;-&quot;??_);_(@_)">
                  <c:v>76596</c:v>
                </c:pt>
                <c:pt idx="1">
                  <c:v>0</c:v>
                </c:pt>
                <c:pt idx="2">
                  <c:v>266160</c:v>
                </c:pt>
                <c:pt idx="3">
                  <c:v>445602</c:v>
                </c:pt>
                <c:pt idx="4">
                  <c:v>749626.34211026016</c:v>
                </c:pt>
                <c:pt idx="5">
                  <c:v>841899.77850628085</c:v>
                </c:pt>
                <c:pt idx="6">
                  <c:v>937247.97927702335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8-41C0-B0F8-932C667CF6CF}"/>
            </c:ext>
          </c:extLst>
        </c:ser>
        <c:ser>
          <c:idx val="2"/>
          <c:order val="2"/>
          <c:tx>
            <c:strRef>
              <c:f>'P&amp;L (Old)'!$B$15</c:f>
              <c:strCache>
                <c:ptCount val="1"/>
                <c:pt idx="0">
                  <c:v> ADMINISTRATIVE AND GENERAL EXPENSES </c:v>
                </c:pt>
              </c:strCache>
            </c:strRef>
          </c:tx>
          <c:cat>
            <c:strRef>
              <c:f>'P&amp;L (Old)'!$C$6:$J$6</c:f>
              <c:strCache>
                <c:ptCount val="3"/>
                <c:pt idx="2">
                  <c:v> Years of Operations </c:v>
                </c:pt>
              </c:strCache>
            </c:strRef>
          </c:cat>
          <c:val>
            <c:numRef>
              <c:f>'P&amp;L (Old)'!$C$15:$J$15</c:f>
              <c:numCache>
                <c:formatCode>#,##0</c:formatCode>
                <c:ptCount val="8"/>
                <c:pt idx="0" formatCode="_(* #,##0_);_(* \(#,##0\);_(* &quot;-&quot;??_);_(@_)">
                  <c:v>102920</c:v>
                </c:pt>
                <c:pt idx="1">
                  <c:v>139066.51</c:v>
                </c:pt>
                <c:pt idx="2">
                  <c:v>234168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8-41C0-B0F8-932C667C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08640"/>
        <c:axId val="1"/>
      </c:lineChart>
      <c:catAx>
        <c:axId val="189790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90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145813241861466"/>
          <c:y val="0.32787958889308189"/>
          <c:w val="0.27660428325807823"/>
          <c:h val="0.3255375918295598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COSTO DE VENTAS TOTALES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690392596913202"/>
          <c:y val="0.20512893890560219"/>
          <c:w val="0.81171631034697633"/>
          <c:h val="0.67033206820937863"/>
        </c:manualLayout>
      </c:layout>
      <c:lineChart>
        <c:grouping val="standard"/>
        <c:varyColors val="0"/>
        <c:ser>
          <c:idx val="0"/>
          <c:order val="0"/>
          <c:cat>
            <c:strRef>
              <c:f>Costs!$F$13:$I$15</c:f>
              <c:strCache>
                <c:ptCount val="4"/>
                <c:pt idx="0">
                  <c:v>2,013</c:v>
                </c:pt>
                <c:pt idx="1">
                  <c:v>2,014</c:v>
                </c:pt>
                <c:pt idx="2">
                  <c:v>2,015</c:v>
                </c:pt>
                <c:pt idx="3">
                  <c:v>2,016</c:v>
                </c:pt>
              </c:strCache>
            </c:strRef>
          </c:cat>
          <c:val>
            <c:numRef>
              <c:f>Costs!$F$18:$I$18</c:f>
              <c:numCache>
                <c:formatCode>#,##0_);\(#,##0\)</c:formatCode>
                <c:ptCount val="4"/>
                <c:pt idx="0">
                  <c:v>613549.91999999993</c:v>
                </c:pt>
                <c:pt idx="1">
                  <c:v>749626.34211026016</c:v>
                </c:pt>
                <c:pt idx="2">
                  <c:v>841899.77850628085</c:v>
                </c:pt>
                <c:pt idx="3">
                  <c:v>937247.97927702335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76F-A98D-0C5AE134F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978080"/>
        <c:axId val="1"/>
      </c:lineChart>
      <c:catAx>
        <c:axId val="17819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780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 sz="1600"/>
              <a:t>Income, Costs and</a:t>
            </a:r>
            <a:r>
              <a:rPr lang="es-ES" sz="1600" baseline="0"/>
              <a:t> Expense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(New)'!$A$8</c:f>
              <c:strCache>
                <c:ptCount val="1"/>
                <c:pt idx="0">
                  <c:v>Total Revenue</c:v>
                </c:pt>
              </c:strCache>
            </c:strRef>
          </c:tx>
          <c:cat>
            <c:strRef>
              <c:f>'P&amp;L (New)'!$B$6:$G$6</c:f>
              <c:strCache>
                <c:ptCount val="6"/>
                <c:pt idx="0">
                  <c:v>2011</c:v>
                </c:pt>
                <c:pt idx="1">
                  <c:v>2012</c:v>
                </c:pt>
                <c:pt idx="2">
                  <c:v>2,013</c:v>
                </c:pt>
                <c:pt idx="3">
                  <c:v>2,014</c:v>
                </c:pt>
                <c:pt idx="4">
                  <c:v>2,015</c:v>
                </c:pt>
                <c:pt idx="5">
                  <c:v>2,016</c:v>
                </c:pt>
              </c:strCache>
            </c:strRef>
          </c:cat>
          <c:val>
            <c:numRef>
              <c:f>'P&amp;L (New)'!$B$8:$G$8</c:f>
              <c:numCache>
                <c:formatCode>#,##0_);\(#,##0\)</c:formatCode>
                <c:ptCount val="6"/>
                <c:pt idx="0">
                  <c:v>1565682.97</c:v>
                </c:pt>
                <c:pt idx="1">
                  <c:v>1431634.27</c:v>
                </c:pt>
                <c:pt idx="2">
                  <c:v>1457273</c:v>
                </c:pt>
                <c:pt idx="3">
                  <c:v>1868951.6692504338</c:v>
                </c:pt>
                <c:pt idx="4">
                  <c:v>2172293.1791104684</c:v>
                </c:pt>
                <c:pt idx="5">
                  <c:v>2499902.009759306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0-47B5-8692-BDDD248C36CA}"/>
            </c:ext>
          </c:extLst>
        </c:ser>
        <c:ser>
          <c:idx val="1"/>
          <c:order val="1"/>
          <c:tx>
            <c:strRef>
              <c:f>'P&amp;L (New)'!$A$10</c:f>
              <c:strCache>
                <c:ptCount val="1"/>
                <c:pt idx="0">
                  <c:v>Cost of Sales</c:v>
                </c:pt>
              </c:strCache>
            </c:strRef>
          </c:tx>
          <c:val>
            <c:numRef>
              <c:f>'P&amp;L (New)'!$B$10:$G$10</c:f>
              <c:numCache>
                <c:formatCode>#,##0_);\(#,##0\)</c:formatCode>
                <c:ptCount val="6"/>
                <c:pt idx="0">
                  <c:v>874044.87</c:v>
                </c:pt>
                <c:pt idx="1">
                  <c:v>724227.09</c:v>
                </c:pt>
                <c:pt idx="2">
                  <c:v>613549.91999999993</c:v>
                </c:pt>
                <c:pt idx="3">
                  <c:v>749626.34211026016</c:v>
                </c:pt>
                <c:pt idx="4">
                  <c:v>841899.77850628085</c:v>
                </c:pt>
                <c:pt idx="5">
                  <c:v>937247.97927702335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D0-47B5-8692-BDDD248C36CA}"/>
            </c:ext>
          </c:extLst>
        </c:ser>
        <c:ser>
          <c:idx val="2"/>
          <c:order val="2"/>
          <c:tx>
            <c:strRef>
              <c:f>'P&amp;L (New)'!$A$14</c:f>
              <c:strCache>
                <c:ptCount val="1"/>
                <c:pt idx="0">
                  <c:v>Expenses</c:v>
                </c:pt>
              </c:strCache>
            </c:strRef>
          </c:tx>
          <c:val>
            <c:numRef>
              <c:f>'P&amp;L (New)'!$B$14:$G$14</c:f>
              <c:numCache>
                <c:formatCode>#,##0_);\(#,##0\)</c:formatCode>
                <c:ptCount val="6"/>
                <c:pt idx="0">
                  <c:v>502763.41000000003</c:v>
                </c:pt>
                <c:pt idx="1">
                  <c:v>434102.06000000006</c:v>
                </c:pt>
                <c:pt idx="2">
                  <c:v>587083.32000000007</c:v>
                </c:pt>
                <c:pt idx="3">
                  <c:v>628575.25929999992</c:v>
                </c:pt>
                <c:pt idx="4">
                  <c:v>663220.50992300001</c:v>
                </c:pt>
                <c:pt idx="5">
                  <c:v>682602.29503604991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D0-47B5-8692-BDDD248C3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15904"/>
        <c:axId val="1"/>
      </c:lineChart>
      <c:catAx>
        <c:axId val="18979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600000"/>
          <c:min val="400000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9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505271824172783"/>
          <c:y val="3.6426231902859811E-2"/>
          <c:w val="0.22333179287719615"/>
          <c:h val="0.45500656834766778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ES" sz="1600"/>
              <a:t>Yearly</a:t>
            </a:r>
            <a:r>
              <a:rPr lang="es-ES" sz="1600" baseline="0"/>
              <a:t> Income</a:t>
            </a:r>
            <a:endParaRPr lang="es-ES" sz="16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Revenue!$D$14:$I$16</c:f>
              <c:strCache>
                <c:ptCount val="6"/>
                <c:pt idx="0">
                  <c:v>2,011</c:v>
                </c:pt>
                <c:pt idx="1">
                  <c:v>2,012</c:v>
                </c:pt>
                <c:pt idx="2">
                  <c:v>2,013</c:v>
                </c:pt>
                <c:pt idx="3">
                  <c:v>2,014</c:v>
                </c:pt>
                <c:pt idx="4">
                  <c:v>2,015</c:v>
                </c:pt>
                <c:pt idx="5">
                  <c:v>2,016</c:v>
                </c:pt>
              </c:strCache>
            </c:strRef>
          </c:cat>
          <c:val>
            <c:numRef>
              <c:f>Revenue!$D$18:$I$18</c:f>
              <c:numCache>
                <c:formatCode>#,##0_);[Red]\(#,##0\)</c:formatCode>
                <c:ptCount val="6"/>
                <c:pt idx="0">
                  <c:v>1565682.97</c:v>
                </c:pt>
                <c:pt idx="1">
                  <c:v>1415524</c:v>
                </c:pt>
                <c:pt idx="2">
                  <c:v>1457273</c:v>
                </c:pt>
                <c:pt idx="3">
                  <c:v>1868951.6692504338</c:v>
                </c:pt>
                <c:pt idx="4">
                  <c:v>2172293.1791104684</c:v>
                </c:pt>
                <c:pt idx="5">
                  <c:v>2499902.009759306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0-4E60-BEF3-2B4DCF02B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16832"/>
        <c:axId val="1"/>
      </c:lineChart>
      <c:catAx>
        <c:axId val="18979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600000"/>
          <c:min val="1000000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700"/>
            </a:pPr>
            <a:endParaRPr lang="en-US"/>
          </a:p>
        </c:txPr>
        <c:crossAx val="1897916832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printSettings>
    <c:headerFooter alignWithMargins="0"/>
    <c:pageMargins b="1" l="0.75" r="0.75" t="1" header="0" footer="0"/>
    <c:pageSetup orientation="landscape" horizontalDpi="-3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ES" sz="1600"/>
              <a:t>Sales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'P&amp;L (New)'!$A$66</c:f>
              <c:strCache>
                <c:ptCount val="1"/>
                <c:pt idx="0">
                  <c:v> Gross Margin </c:v>
                </c:pt>
              </c:strCache>
            </c:strRef>
          </c:tx>
          <c:invertIfNegative val="0"/>
          <c:cat>
            <c:strRef>
              <c:f>Revenue!$E$14:$I$16</c:f>
              <c:strCache>
                <c:ptCount val="5"/>
                <c:pt idx="0">
                  <c:v>2,012</c:v>
                </c:pt>
                <c:pt idx="1">
                  <c:v>2,013</c:v>
                </c:pt>
                <c:pt idx="2">
                  <c:v>2,014</c:v>
                </c:pt>
                <c:pt idx="3">
                  <c:v>2,015</c:v>
                </c:pt>
                <c:pt idx="4">
                  <c:v>2,016</c:v>
                </c:pt>
              </c:strCache>
            </c:strRef>
          </c:cat>
          <c:val>
            <c:numRef>
              <c:f>'P&amp;L (New)'!$C$66:$G$66</c:f>
              <c:numCache>
                <c:formatCode>0%</c:formatCode>
                <c:ptCount val="5"/>
                <c:pt idx="0">
                  <c:v>0.49412562609303845</c:v>
                </c:pt>
                <c:pt idx="1">
                  <c:v>0.57897393281835319</c:v>
                </c:pt>
                <c:pt idx="2">
                  <c:v>0.5989054428513354</c:v>
                </c:pt>
                <c:pt idx="3">
                  <c:v>0.61243731435411952</c:v>
                </c:pt>
                <c:pt idx="4">
                  <c:v>0.62508611312838502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2-418F-B8D8-910DF95C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897910800"/>
        <c:axId val="1"/>
      </c:barChart>
      <c:lineChart>
        <c:grouping val="standard"/>
        <c:varyColors val="0"/>
        <c:ser>
          <c:idx val="0"/>
          <c:order val="0"/>
          <c:tx>
            <c:strRef>
              <c:f>Revenue!$B$19</c:f>
              <c:strCache>
                <c:ptCount val="1"/>
                <c:pt idx="0">
                  <c:v>Sales Comercial (Supermercados)</c:v>
                </c:pt>
              </c:strCache>
            </c:strRef>
          </c:tx>
          <c:val>
            <c:numRef>
              <c:f>Revenue!$E$8:$I$8</c:f>
              <c:numCache>
                <c:formatCode>0%</c:formatCode>
                <c:ptCount val="5"/>
                <c:pt idx="0">
                  <c:v>0.45885481277604617</c:v>
                </c:pt>
                <c:pt idx="1">
                  <c:v>0.36322363757511461</c:v>
                </c:pt>
                <c:pt idx="2">
                  <c:v>0.31411916258160205</c:v>
                </c:pt>
                <c:pt idx="3">
                  <c:v>0.29187561881960189</c:v>
                </c:pt>
                <c:pt idx="4">
                  <c:v>0.27391576410198398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92-418F-B8D8-910DF95CFBC3}"/>
            </c:ext>
          </c:extLst>
        </c:ser>
        <c:ser>
          <c:idx val="1"/>
          <c:order val="1"/>
          <c:tx>
            <c:strRef>
              <c:f>Revenue!$B$20</c:f>
              <c:strCache>
                <c:ptCount val="1"/>
                <c:pt idx="0">
                  <c:v>Sales Industrial (Empresas)</c:v>
                </c:pt>
              </c:strCache>
            </c:strRef>
          </c:tx>
          <c:val>
            <c:numRef>
              <c:f>Revenue!$E$9:$I$9</c:f>
              <c:numCache>
                <c:formatCode>0%</c:formatCode>
                <c:ptCount val="5"/>
                <c:pt idx="0">
                  <c:v>0.54114518722395377</c:v>
                </c:pt>
                <c:pt idx="1">
                  <c:v>0.63466213948930639</c:v>
                </c:pt>
                <c:pt idx="2">
                  <c:v>0.68588083741839789</c:v>
                </c:pt>
                <c:pt idx="3">
                  <c:v>0.70812438118039811</c:v>
                </c:pt>
                <c:pt idx="4">
                  <c:v>0.72608423589801596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92-418F-B8D8-910DF95CF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7910800"/>
        <c:axId val="1"/>
      </c:lineChart>
      <c:catAx>
        <c:axId val="189791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.2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crossAx val="189791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748975198324923"/>
          <c:y val="6.9516587861782517E-4"/>
          <c:w val="0.31986021410245069"/>
          <c:h val="0.3712637652630377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Main 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Expenses!$A$7</c:f>
              <c:strCache>
                <c:ptCount val="1"/>
                <c:pt idx="0">
                  <c:v>Personnel and Professional Fees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Expenses!$B$7:$E$7</c:f>
              <c:numCache>
                <c:formatCode>#,##0</c:formatCode>
                <c:ptCount val="4"/>
                <c:pt idx="0">
                  <c:v>387744.33999999997</c:v>
                </c:pt>
                <c:pt idx="1">
                  <c:v>426518.77400000003</c:v>
                </c:pt>
                <c:pt idx="2">
                  <c:v>452109.90044</c:v>
                </c:pt>
                <c:pt idx="3">
                  <c:v>465673.1974532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7-476A-A9F6-DE1628B1183F}"/>
            </c:ext>
          </c:extLst>
        </c:ser>
        <c:ser>
          <c:idx val="1"/>
          <c:order val="1"/>
          <c:tx>
            <c:strRef>
              <c:f>Expenses!$A$11</c:f>
              <c:strCache>
                <c:ptCount val="1"/>
                <c:pt idx="0">
                  <c:v>Common Administrative Expenses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Expenses!$B$11:$E$11</c:f>
              <c:numCache>
                <c:formatCode>#,##0</c:formatCode>
                <c:ptCount val="4"/>
                <c:pt idx="0">
                  <c:v>152095.91999999998</c:v>
                </c:pt>
                <c:pt idx="1">
                  <c:v>155496.11239999998</c:v>
                </c:pt>
                <c:pt idx="2">
                  <c:v>164307.81221</c:v>
                </c:pt>
                <c:pt idx="3">
                  <c:v>170483.45433360001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B7-476A-A9F6-DE1628B1183F}"/>
            </c:ext>
          </c:extLst>
        </c:ser>
        <c:ser>
          <c:idx val="2"/>
          <c:order val="2"/>
          <c:tx>
            <c:strRef>
              <c:f>Expenses!$A$23</c:f>
              <c:strCache>
                <c:ptCount val="1"/>
                <c:pt idx="0">
                  <c:v>Marketing and Advertising Expenses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Expenses!$B$23:$E$23</c:f>
              <c:numCache>
                <c:formatCode>#,##0</c:formatCode>
                <c:ptCount val="4"/>
                <c:pt idx="0">
                  <c:v>3425.64</c:v>
                </c:pt>
                <c:pt idx="1">
                  <c:v>2047.9095</c:v>
                </c:pt>
                <c:pt idx="2">
                  <c:v>2150.304975</c:v>
                </c:pt>
                <c:pt idx="3">
                  <c:v>2257.82022375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B7-476A-A9F6-DE1628B1183F}"/>
            </c:ext>
          </c:extLst>
        </c:ser>
        <c:ser>
          <c:idx val="3"/>
          <c:order val="3"/>
          <c:tx>
            <c:strRef>
              <c:f>Expenses!$A$27</c:f>
              <c:strCache>
                <c:ptCount val="1"/>
                <c:pt idx="0">
                  <c:v>Repar. Y Maintenance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Expenses!$B$27:$E$27</c:f>
              <c:numCache>
                <c:formatCode>#,##0</c:formatCode>
                <c:ptCount val="4"/>
                <c:pt idx="0">
                  <c:v>13569.61</c:v>
                </c:pt>
                <c:pt idx="1">
                  <c:v>13054.741</c:v>
                </c:pt>
                <c:pt idx="2">
                  <c:v>12565.615449999999</c:v>
                </c:pt>
                <c:pt idx="3">
                  <c:v>12100.946177499998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B7-476A-A9F6-DE1628B1183F}"/>
            </c:ext>
          </c:extLst>
        </c:ser>
        <c:ser>
          <c:idx val="4"/>
          <c:order val="4"/>
          <c:tx>
            <c:strRef>
              <c:f>Expenses!$A$31</c:f>
              <c:strCache>
                <c:ptCount val="1"/>
                <c:pt idx="0">
                  <c:v>Insurance e Taxes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Expenses!$B$31:$E$31</c:f>
              <c:numCache>
                <c:formatCode>#,##0</c:formatCode>
                <c:ptCount val="4"/>
                <c:pt idx="0">
                  <c:v>30247.809999999998</c:v>
                </c:pt>
                <c:pt idx="1">
                  <c:v>31457.722399999999</c:v>
                </c:pt>
                <c:pt idx="2">
                  <c:v>32086.876848</c:v>
                </c:pt>
                <c:pt idx="3">
                  <c:v>32086.876848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B7-476A-A9F6-DE1628B1183F}"/>
            </c:ext>
          </c:extLst>
        </c:ser>
        <c:ser>
          <c:idx val="5"/>
          <c:order val="5"/>
          <c:tx>
            <c:strRef>
              <c:f>Expenses!$A$33</c:f>
              <c:strCache>
                <c:ptCount val="1"/>
                <c:pt idx="0">
                  <c:v>Bank Fees and Other Expenses</c:v>
                </c:pt>
              </c:strCache>
            </c:strRef>
          </c:tx>
          <c:cat>
            <c:numRef>
              <c:f>Expenses!$B$6:$E$6</c:f>
              <c:numCache>
                <c:formatCode>#,##0_);\(#,##0\)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f>Expenses!$B$33:$E$33</c:f>
              <c:numCache>
                <c:formatCode>#,##0</c:formatCode>
                <c:ptCount val="4"/>
                <c:pt idx="0">
                  <c:v>91034.5</c:v>
                </c:pt>
                <c:pt idx="1">
                  <c:v>91034.5</c:v>
                </c:pt>
                <c:pt idx="2">
                  <c:v>91034.5</c:v>
                </c:pt>
                <c:pt idx="3">
                  <c:v>91034.5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B7-476A-A9F6-DE1628B11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081952"/>
        <c:axId val="1"/>
      </c:lineChart>
      <c:catAx>
        <c:axId val="1873081952"/>
        <c:scaling>
          <c:orientation val="minMax"/>
        </c:scaling>
        <c:delete val="0"/>
        <c:axPos val="b"/>
        <c:numFmt formatCode="#,##0_);\(#,##0\)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8730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141683275067795"/>
          <c:y val="0.18714410905761886"/>
          <c:w val="0.36308216386518222"/>
          <c:h val="0.81273640436928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Egresos Financieros VS Efectivo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1578947368421054E-2"/>
          <c:y val="0.19444444444444445"/>
          <c:w val="0.94970760233918128"/>
          <c:h val="0.57986111111111116"/>
        </c:manualLayout>
      </c:layout>
      <c:lineChart>
        <c:grouping val="standard"/>
        <c:varyColors val="0"/>
        <c:ser>
          <c:idx val="0"/>
          <c:order val="0"/>
          <c:tx>
            <c:strRef>
              <c:f>'Cash Flow'!$B$22</c:f>
              <c:strCache>
                <c:ptCount val="1"/>
                <c:pt idx="0">
                  <c:v> FINANCIAL EXPENSES </c:v>
                </c:pt>
              </c:strCache>
            </c:strRef>
          </c:tx>
          <c:cat>
            <c:numRef>
              <c:f>'Cash Flow'!$C$6:$H$6</c:f>
              <c:numCache>
                <c:formatCode>_(* #,##0_);_(* \(#,##0\);_(* "-"??_);_(@_)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'Cash Flow'!$C$22:$H$22</c:f>
              <c:numCache>
                <c:formatCode>#,##0_);[Red]\(#,##0\)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C8-465E-ACAC-58F47E66BC03}"/>
            </c:ext>
          </c:extLst>
        </c:ser>
        <c:ser>
          <c:idx val="1"/>
          <c:order val="1"/>
          <c:tx>
            <c:strRef>
              <c:f>'Cash Flow'!$B$34</c:f>
              <c:strCache>
                <c:ptCount val="1"/>
                <c:pt idx="0">
                  <c:v> CASH  </c:v>
                </c:pt>
              </c:strCache>
            </c:strRef>
          </c:tx>
          <c:cat>
            <c:numRef>
              <c:f>'Cash Flow'!$C$6:$H$6</c:f>
              <c:numCache>
                <c:formatCode>_(* #,##0_);_(* \(#,##0\);_(* "-"??_);_(@_)</c:formatCode>
                <c:ptCount val="6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numCache>
            </c:numRef>
          </c:cat>
          <c:val>
            <c:numRef>
              <c:f>'Cash Flow'!$C$34:$H$34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C8-465E-ACAC-58F47E66B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961408"/>
        <c:axId val="1"/>
      </c:lineChart>
      <c:catAx>
        <c:axId val="1765961408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_);[Red]\(#,##0\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9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3143323946842856"/>
          <c:y val="0.88829935419808759"/>
          <c:w val="0.33143323946842856"/>
          <c:h val="7.8215037476561167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 horizontalDpi="-3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Activos VS Pasivos Circulantes</a:t>
            </a:r>
          </a:p>
        </c:rich>
      </c:tx>
      <c:layout>
        <c:manualLayout>
          <c:xMode val="edge"/>
          <c:yMode val="edge"/>
          <c:x val="0.23706896551724138"/>
          <c:y val="3.73134328358208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827586206896552"/>
          <c:y val="0.2425377553232774"/>
          <c:w val="0.77155172413793105"/>
          <c:h val="0.4850755106465548"/>
        </c:manualLayout>
      </c:layout>
      <c:lineChart>
        <c:grouping val="standard"/>
        <c:varyColors val="0"/>
        <c:ser>
          <c:idx val="0"/>
          <c:order val="0"/>
          <c:tx>
            <c:strRef>
              <c:f>'7.-Balance Sheet'!$B$11</c:f>
              <c:strCache>
                <c:ptCount val="1"/>
                <c:pt idx="0">
                  <c:v> Activos Corrientes </c:v>
                </c:pt>
              </c:strCache>
            </c:strRef>
          </c:tx>
          <c:cat>
            <c:numRef>
              <c:f>'7.-Balance Sheet'!$C$7:$F$7</c:f>
              <c:numCache>
                <c:formatCode>_(* #,##0_);_(* \(#,##0\);_(* "-"??_);_(@_)</c:formatCode>
                <c:ptCount val="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</c:numCache>
            </c:numRef>
          </c:cat>
          <c:val>
            <c:numRef>
              <c:f>'7.-Balance Sheet'!$C$11:$F$11</c:f>
              <c:numCache>
                <c:formatCode>_(* #,##0_);_(* \(#,##0\);_(* "-"??_);_(@_)</c:formatCode>
                <c:ptCount val="4"/>
                <c:pt idx="0">
                  <c:v>95615</c:v>
                </c:pt>
                <c:pt idx="1">
                  <c:v>250451.20000000001</c:v>
                </c:pt>
                <c:pt idx="2">
                  <c:v>435878.3</c:v>
                </c:pt>
                <c:pt idx="3">
                  <c:v>715228.89999999991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F-4C90-A29F-8DD17ABDDA7A}"/>
            </c:ext>
          </c:extLst>
        </c:ser>
        <c:ser>
          <c:idx val="1"/>
          <c:order val="1"/>
          <c:tx>
            <c:v>Pasivo circulantes</c:v>
          </c:tx>
          <c:cat>
            <c:numRef>
              <c:f>'7.-Balance Sheet'!$C$7:$F$7</c:f>
              <c:numCache>
                <c:formatCode>_(* #,##0_);_(* \(#,##0\);_(* "-"??_);_(@_)</c:formatCode>
                <c:ptCount val="4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</c:numCache>
            </c:numRef>
          </c:cat>
          <c:val>
            <c:numRef>
              <c:f>'7.-Balance Sheet'!$B$37:$F$37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44407</c:v>
                </c:pt>
                <c:pt idx="2">
                  <c:v>56545.89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DF-4C90-A29F-8DD17ABDD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979936"/>
        <c:axId val="1"/>
      </c:lineChart>
      <c:catAx>
        <c:axId val="1781979936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97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337696667113925"/>
          <c:y val="0.87954804010416032"/>
          <c:w val="0.63141260689205059"/>
          <c:h val="8.7352373845961132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93</xdr:row>
      <xdr:rowOff>30480</xdr:rowOff>
    </xdr:from>
    <xdr:to>
      <xdr:col>5</xdr:col>
      <xdr:colOff>434340</xdr:colOff>
      <xdr:row>111</xdr:row>
      <xdr:rowOff>99060</xdr:rowOff>
    </xdr:to>
    <xdr:graphicFrame macro="">
      <xdr:nvGraphicFramePr>
        <xdr:cNvPr id="4499" name="Chart 2">
          <a:extLst>
            <a:ext uri="{FF2B5EF4-FFF2-40B4-BE49-F238E27FC236}">
              <a16:creationId xmlns:a16="http://schemas.microsoft.com/office/drawing/2014/main" id="{DDCF64DB-CAE6-44E5-D8FA-24D0CF904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624840</xdr:colOff>
      <xdr:row>92</xdr:row>
      <xdr:rowOff>182880</xdr:rowOff>
    </xdr:from>
    <xdr:to>
      <xdr:col>11</xdr:col>
      <xdr:colOff>502920</xdr:colOff>
      <xdr:row>111</xdr:row>
      <xdr:rowOff>99060</xdr:rowOff>
    </xdr:to>
    <xdr:graphicFrame macro="">
      <xdr:nvGraphicFramePr>
        <xdr:cNvPr id="4500" name="Chart 15">
          <a:extLst>
            <a:ext uri="{FF2B5EF4-FFF2-40B4-BE49-F238E27FC236}">
              <a16:creationId xmlns:a16="http://schemas.microsoft.com/office/drawing/2014/main" id="{7DD369FF-5D7E-5F34-E7F9-69057B20E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</xdr:colOff>
      <xdr:row>73</xdr:row>
      <xdr:rowOff>144780</xdr:rowOff>
    </xdr:from>
    <xdr:to>
      <xdr:col>4</xdr:col>
      <xdr:colOff>266700</xdr:colOff>
      <xdr:row>90</xdr:row>
      <xdr:rowOff>190500</xdr:rowOff>
    </xdr:to>
    <xdr:graphicFrame macro="">
      <xdr:nvGraphicFramePr>
        <xdr:cNvPr id="4501" name="Chart 16">
          <a:extLst>
            <a:ext uri="{FF2B5EF4-FFF2-40B4-BE49-F238E27FC236}">
              <a16:creationId xmlns:a16="http://schemas.microsoft.com/office/drawing/2014/main" id="{5B9CC434-51B9-671A-739A-CE5380233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723900</xdr:colOff>
      <xdr:row>73</xdr:row>
      <xdr:rowOff>167640</xdr:rowOff>
    </xdr:from>
    <xdr:to>
      <xdr:col>11</xdr:col>
      <xdr:colOff>487680</xdr:colOff>
      <xdr:row>90</xdr:row>
      <xdr:rowOff>182880</xdr:rowOff>
    </xdr:to>
    <xdr:graphicFrame macro="">
      <xdr:nvGraphicFramePr>
        <xdr:cNvPr id="4502" name="7 Gráfico">
          <a:extLst>
            <a:ext uri="{FF2B5EF4-FFF2-40B4-BE49-F238E27FC236}">
              <a16:creationId xmlns:a16="http://schemas.microsoft.com/office/drawing/2014/main" id="{CB9D35E1-11B5-31E2-D1B8-7B3B313A8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7</xdr:row>
      <xdr:rowOff>38100</xdr:rowOff>
    </xdr:from>
    <xdr:to>
      <xdr:col>1</xdr:col>
      <xdr:colOff>327660</xdr:colOff>
      <xdr:row>7</xdr:row>
      <xdr:rowOff>167640</xdr:rowOff>
    </xdr:to>
    <xdr:sp macro="" textlink="">
      <xdr:nvSpPr>
        <xdr:cNvPr id="982437" name="1 Hexágono">
          <a:extLst>
            <a:ext uri="{FF2B5EF4-FFF2-40B4-BE49-F238E27FC236}">
              <a16:creationId xmlns:a16="http://schemas.microsoft.com/office/drawing/2014/main" id="{1D123DB5-A5F5-8631-BF9A-36F1AC52D5D7}"/>
            </a:ext>
          </a:extLst>
        </xdr:cNvPr>
        <xdr:cNvSpPr>
          <a:spLocks noChangeArrowheads="1"/>
        </xdr:cNvSpPr>
      </xdr:nvSpPr>
      <xdr:spPr bwMode="auto">
        <a:xfrm>
          <a:off x="556260" y="141732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15</xdr:row>
      <xdr:rowOff>45720</xdr:rowOff>
    </xdr:from>
    <xdr:to>
      <xdr:col>1</xdr:col>
      <xdr:colOff>335280</xdr:colOff>
      <xdr:row>15</xdr:row>
      <xdr:rowOff>175260</xdr:rowOff>
    </xdr:to>
    <xdr:sp macro="" textlink="">
      <xdr:nvSpPr>
        <xdr:cNvPr id="982438" name="2 Hexágono">
          <a:extLst>
            <a:ext uri="{FF2B5EF4-FFF2-40B4-BE49-F238E27FC236}">
              <a16:creationId xmlns:a16="http://schemas.microsoft.com/office/drawing/2014/main" id="{A85D2FFE-3F97-DA92-2882-1A95AB5ACE2F}"/>
            </a:ext>
          </a:extLst>
        </xdr:cNvPr>
        <xdr:cNvSpPr>
          <a:spLocks noChangeArrowheads="1"/>
        </xdr:cNvSpPr>
      </xdr:nvSpPr>
      <xdr:spPr bwMode="auto">
        <a:xfrm>
          <a:off x="571500" y="294894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16</xdr:row>
      <xdr:rowOff>38100</xdr:rowOff>
    </xdr:from>
    <xdr:to>
      <xdr:col>1</xdr:col>
      <xdr:colOff>335280</xdr:colOff>
      <xdr:row>16</xdr:row>
      <xdr:rowOff>167640</xdr:rowOff>
    </xdr:to>
    <xdr:sp macro="" textlink="">
      <xdr:nvSpPr>
        <xdr:cNvPr id="982439" name="2 Hexágono">
          <a:extLst>
            <a:ext uri="{FF2B5EF4-FFF2-40B4-BE49-F238E27FC236}">
              <a16:creationId xmlns:a16="http://schemas.microsoft.com/office/drawing/2014/main" id="{DA7E4E32-BE5D-F273-714E-199A2EADD391}"/>
            </a:ext>
          </a:extLst>
        </xdr:cNvPr>
        <xdr:cNvSpPr>
          <a:spLocks noChangeArrowheads="1"/>
        </xdr:cNvSpPr>
      </xdr:nvSpPr>
      <xdr:spPr bwMode="auto">
        <a:xfrm>
          <a:off x="571500" y="313944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7</xdr:row>
      <xdr:rowOff>38100</xdr:rowOff>
    </xdr:from>
    <xdr:to>
      <xdr:col>5</xdr:col>
      <xdr:colOff>327660</xdr:colOff>
      <xdr:row>7</xdr:row>
      <xdr:rowOff>167640</xdr:rowOff>
    </xdr:to>
    <xdr:sp macro="" textlink="">
      <xdr:nvSpPr>
        <xdr:cNvPr id="982440" name="1 Hexágono">
          <a:extLst>
            <a:ext uri="{FF2B5EF4-FFF2-40B4-BE49-F238E27FC236}">
              <a16:creationId xmlns:a16="http://schemas.microsoft.com/office/drawing/2014/main" id="{6364D2EB-2F89-68A3-E063-E48B4C612506}"/>
            </a:ext>
          </a:extLst>
        </xdr:cNvPr>
        <xdr:cNvSpPr>
          <a:spLocks noChangeArrowheads="1"/>
        </xdr:cNvSpPr>
      </xdr:nvSpPr>
      <xdr:spPr bwMode="auto">
        <a:xfrm>
          <a:off x="6553200" y="141732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8</xdr:row>
      <xdr:rowOff>38100</xdr:rowOff>
    </xdr:from>
    <xdr:to>
      <xdr:col>5</xdr:col>
      <xdr:colOff>327660</xdr:colOff>
      <xdr:row>8</xdr:row>
      <xdr:rowOff>167640</xdr:rowOff>
    </xdr:to>
    <xdr:sp macro="" textlink="">
      <xdr:nvSpPr>
        <xdr:cNvPr id="982441" name="1 Hexágono">
          <a:extLst>
            <a:ext uri="{FF2B5EF4-FFF2-40B4-BE49-F238E27FC236}">
              <a16:creationId xmlns:a16="http://schemas.microsoft.com/office/drawing/2014/main" id="{84D6943B-AB01-3E94-2992-C993379623B5}"/>
            </a:ext>
          </a:extLst>
        </xdr:cNvPr>
        <xdr:cNvSpPr>
          <a:spLocks noChangeArrowheads="1"/>
        </xdr:cNvSpPr>
      </xdr:nvSpPr>
      <xdr:spPr bwMode="auto">
        <a:xfrm>
          <a:off x="6553200" y="161544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9</xdr:row>
      <xdr:rowOff>38100</xdr:rowOff>
    </xdr:from>
    <xdr:to>
      <xdr:col>5</xdr:col>
      <xdr:colOff>327660</xdr:colOff>
      <xdr:row>9</xdr:row>
      <xdr:rowOff>167640</xdr:rowOff>
    </xdr:to>
    <xdr:sp macro="" textlink="">
      <xdr:nvSpPr>
        <xdr:cNvPr id="982442" name="1 Hexágono">
          <a:extLst>
            <a:ext uri="{FF2B5EF4-FFF2-40B4-BE49-F238E27FC236}">
              <a16:creationId xmlns:a16="http://schemas.microsoft.com/office/drawing/2014/main" id="{9DF04134-C8A6-3F50-9815-3EE87F07A25D}"/>
            </a:ext>
          </a:extLst>
        </xdr:cNvPr>
        <xdr:cNvSpPr>
          <a:spLocks noChangeArrowheads="1"/>
        </xdr:cNvSpPr>
      </xdr:nvSpPr>
      <xdr:spPr bwMode="auto">
        <a:xfrm>
          <a:off x="6553200" y="181356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10</xdr:row>
      <xdr:rowOff>38100</xdr:rowOff>
    </xdr:from>
    <xdr:to>
      <xdr:col>5</xdr:col>
      <xdr:colOff>327660</xdr:colOff>
      <xdr:row>10</xdr:row>
      <xdr:rowOff>167640</xdr:rowOff>
    </xdr:to>
    <xdr:sp macro="" textlink="">
      <xdr:nvSpPr>
        <xdr:cNvPr id="982443" name="1 Hexágono">
          <a:extLst>
            <a:ext uri="{FF2B5EF4-FFF2-40B4-BE49-F238E27FC236}">
              <a16:creationId xmlns:a16="http://schemas.microsoft.com/office/drawing/2014/main" id="{17F23289-045D-33C4-6A21-6685556FF873}"/>
            </a:ext>
          </a:extLst>
        </xdr:cNvPr>
        <xdr:cNvSpPr>
          <a:spLocks noChangeArrowheads="1"/>
        </xdr:cNvSpPr>
      </xdr:nvSpPr>
      <xdr:spPr bwMode="auto">
        <a:xfrm>
          <a:off x="6553200" y="201168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11</xdr:row>
      <xdr:rowOff>38100</xdr:rowOff>
    </xdr:from>
    <xdr:to>
      <xdr:col>5</xdr:col>
      <xdr:colOff>327660</xdr:colOff>
      <xdr:row>11</xdr:row>
      <xdr:rowOff>167640</xdr:rowOff>
    </xdr:to>
    <xdr:sp macro="" textlink="">
      <xdr:nvSpPr>
        <xdr:cNvPr id="982444" name="1 Hexágono">
          <a:extLst>
            <a:ext uri="{FF2B5EF4-FFF2-40B4-BE49-F238E27FC236}">
              <a16:creationId xmlns:a16="http://schemas.microsoft.com/office/drawing/2014/main" id="{5AB82F1B-C6D8-2C5A-DFF9-189356A32E7A}"/>
            </a:ext>
          </a:extLst>
        </xdr:cNvPr>
        <xdr:cNvSpPr>
          <a:spLocks noChangeArrowheads="1"/>
        </xdr:cNvSpPr>
      </xdr:nvSpPr>
      <xdr:spPr bwMode="auto">
        <a:xfrm>
          <a:off x="6553200" y="220980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21</xdr:row>
      <xdr:rowOff>38100</xdr:rowOff>
    </xdr:from>
    <xdr:to>
      <xdr:col>1</xdr:col>
      <xdr:colOff>335280</xdr:colOff>
      <xdr:row>21</xdr:row>
      <xdr:rowOff>167640</xdr:rowOff>
    </xdr:to>
    <xdr:sp macro="" textlink="">
      <xdr:nvSpPr>
        <xdr:cNvPr id="982445" name="2 Hexágono">
          <a:extLst>
            <a:ext uri="{FF2B5EF4-FFF2-40B4-BE49-F238E27FC236}">
              <a16:creationId xmlns:a16="http://schemas.microsoft.com/office/drawing/2014/main" id="{8859487B-5374-5215-36C1-31C85CD7BBE0}"/>
            </a:ext>
          </a:extLst>
        </xdr:cNvPr>
        <xdr:cNvSpPr>
          <a:spLocks noChangeArrowheads="1"/>
        </xdr:cNvSpPr>
      </xdr:nvSpPr>
      <xdr:spPr bwMode="auto">
        <a:xfrm>
          <a:off x="571500" y="407670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22</xdr:row>
      <xdr:rowOff>38100</xdr:rowOff>
    </xdr:from>
    <xdr:to>
      <xdr:col>1</xdr:col>
      <xdr:colOff>335280</xdr:colOff>
      <xdr:row>22</xdr:row>
      <xdr:rowOff>167640</xdr:rowOff>
    </xdr:to>
    <xdr:sp macro="" textlink="">
      <xdr:nvSpPr>
        <xdr:cNvPr id="982446" name="2 Hexágono">
          <a:extLst>
            <a:ext uri="{FF2B5EF4-FFF2-40B4-BE49-F238E27FC236}">
              <a16:creationId xmlns:a16="http://schemas.microsoft.com/office/drawing/2014/main" id="{48769C78-D383-0B82-8E53-20DEFDF530CE}"/>
            </a:ext>
          </a:extLst>
        </xdr:cNvPr>
        <xdr:cNvSpPr>
          <a:spLocks noChangeArrowheads="1"/>
        </xdr:cNvSpPr>
      </xdr:nvSpPr>
      <xdr:spPr bwMode="auto">
        <a:xfrm>
          <a:off x="571500" y="427482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26</xdr:row>
      <xdr:rowOff>38100</xdr:rowOff>
    </xdr:from>
    <xdr:to>
      <xdr:col>1</xdr:col>
      <xdr:colOff>335280</xdr:colOff>
      <xdr:row>26</xdr:row>
      <xdr:rowOff>167640</xdr:rowOff>
    </xdr:to>
    <xdr:sp macro="" textlink="">
      <xdr:nvSpPr>
        <xdr:cNvPr id="982447" name="2 Hexágono">
          <a:extLst>
            <a:ext uri="{FF2B5EF4-FFF2-40B4-BE49-F238E27FC236}">
              <a16:creationId xmlns:a16="http://schemas.microsoft.com/office/drawing/2014/main" id="{028C81C4-A4D4-1759-FE07-38340A1BEA1B}"/>
            </a:ext>
          </a:extLst>
        </xdr:cNvPr>
        <xdr:cNvSpPr>
          <a:spLocks noChangeArrowheads="1"/>
        </xdr:cNvSpPr>
      </xdr:nvSpPr>
      <xdr:spPr bwMode="auto">
        <a:xfrm>
          <a:off x="571500" y="509016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27</xdr:row>
      <xdr:rowOff>38100</xdr:rowOff>
    </xdr:from>
    <xdr:to>
      <xdr:col>1</xdr:col>
      <xdr:colOff>335280</xdr:colOff>
      <xdr:row>27</xdr:row>
      <xdr:rowOff>167640</xdr:rowOff>
    </xdr:to>
    <xdr:sp macro="" textlink="">
      <xdr:nvSpPr>
        <xdr:cNvPr id="982448" name="2 Hexágono">
          <a:extLst>
            <a:ext uri="{FF2B5EF4-FFF2-40B4-BE49-F238E27FC236}">
              <a16:creationId xmlns:a16="http://schemas.microsoft.com/office/drawing/2014/main" id="{3AE8F8F1-7090-EBE3-5B30-6239694761A0}"/>
            </a:ext>
          </a:extLst>
        </xdr:cNvPr>
        <xdr:cNvSpPr>
          <a:spLocks noChangeArrowheads="1"/>
        </xdr:cNvSpPr>
      </xdr:nvSpPr>
      <xdr:spPr bwMode="auto">
        <a:xfrm>
          <a:off x="571500" y="528828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213360</xdr:colOff>
      <xdr:row>10</xdr:row>
      <xdr:rowOff>38100</xdr:rowOff>
    </xdr:from>
    <xdr:to>
      <xdr:col>1</xdr:col>
      <xdr:colOff>327660</xdr:colOff>
      <xdr:row>10</xdr:row>
      <xdr:rowOff>167640</xdr:rowOff>
    </xdr:to>
    <xdr:sp macro="" textlink="">
      <xdr:nvSpPr>
        <xdr:cNvPr id="982449" name="1 Hexágono">
          <a:extLst>
            <a:ext uri="{FF2B5EF4-FFF2-40B4-BE49-F238E27FC236}">
              <a16:creationId xmlns:a16="http://schemas.microsoft.com/office/drawing/2014/main" id="{589BD1C2-5BA0-4B45-C13C-665FFE8A2FE0}"/>
            </a:ext>
          </a:extLst>
        </xdr:cNvPr>
        <xdr:cNvSpPr>
          <a:spLocks noChangeArrowheads="1"/>
        </xdr:cNvSpPr>
      </xdr:nvSpPr>
      <xdr:spPr bwMode="auto">
        <a:xfrm>
          <a:off x="556260" y="201168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213360</xdr:colOff>
      <xdr:row>11</xdr:row>
      <xdr:rowOff>38100</xdr:rowOff>
    </xdr:from>
    <xdr:to>
      <xdr:col>1</xdr:col>
      <xdr:colOff>327660</xdr:colOff>
      <xdr:row>11</xdr:row>
      <xdr:rowOff>167640</xdr:rowOff>
    </xdr:to>
    <xdr:sp macro="" textlink="">
      <xdr:nvSpPr>
        <xdr:cNvPr id="982450" name="1 Hexágono">
          <a:extLst>
            <a:ext uri="{FF2B5EF4-FFF2-40B4-BE49-F238E27FC236}">
              <a16:creationId xmlns:a16="http://schemas.microsoft.com/office/drawing/2014/main" id="{5A8E2B25-BD0C-9EA8-E4B2-8D5CFD6EEF0F}"/>
            </a:ext>
          </a:extLst>
        </xdr:cNvPr>
        <xdr:cNvSpPr>
          <a:spLocks noChangeArrowheads="1"/>
        </xdr:cNvSpPr>
      </xdr:nvSpPr>
      <xdr:spPr bwMode="auto">
        <a:xfrm>
          <a:off x="556260" y="220980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15</xdr:row>
      <xdr:rowOff>38100</xdr:rowOff>
    </xdr:from>
    <xdr:to>
      <xdr:col>5</xdr:col>
      <xdr:colOff>327660</xdr:colOff>
      <xdr:row>15</xdr:row>
      <xdr:rowOff>167640</xdr:rowOff>
    </xdr:to>
    <xdr:sp macro="" textlink="">
      <xdr:nvSpPr>
        <xdr:cNvPr id="982451" name="1 Hexágono">
          <a:extLst>
            <a:ext uri="{FF2B5EF4-FFF2-40B4-BE49-F238E27FC236}">
              <a16:creationId xmlns:a16="http://schemas.microsoft.com/office/drawing/2014/main" id="{521CBB0C-5694-455E-7AB3-C8041DAEDCEC}"/>
            </a:ext>
          </a:extLst>
        </xdr:cNvPr>
        <xdr:cNvSpPr>
          <a:spLocks noChangeArrowheads="1"/>
        </xdr:cNvSpPr>
      </xdr:nvSpPr>
      <xdr:spPr bwMode="auto">
        <a:xfrm>
          <a:off x="6553200" y="294132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21</xdr:row>
      <xdr:rowOff>38100</xdr:rowOff>
    </xdr:from>
    <xdr:to>
      <xdr:col>5</xdr:col>
      <xdr:colOff>327660</xdr:colOff>
      <xdr:row>21</xdr:row>
      <xdr:rowOff>167640</xdr:rowOff>
    </xdr:to>
    <xdr:sp macro="" textlink="">
      <xdr:nvSpPr>
        <xdr:cNvPr id="982452" name="1 Hexágono">
          <a:extLst>
            <a:ext uri="{FF2B5EF4-FFF2-40B4-BE49-F238E27FC236}">
              <a16:creationId xmlns:a16="http://schemas.microsoft.com/office/drawing/2014/main" id="{05C2AE38-F7AE-FF6D-7F2B-8F9098FAB81D}"/>
            </a:ext>
          </a:extLst>
        </xdr:cNvPr>
        <xdr:cNvSpPr>
          <a:spLocks noChangeArrowheads="1"/>
        </xdr:cNvSpPr>
      </xdr:nvSpPr>
      <xdr:spPr bwMode="auto">
        <a:xfrm>
          <a:off x="6553200" y="407670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213360</xdr:colOff>
      <xdr:row>22</xdr:row>
      <xdr:rowOff>38100</xdr:rowOff>
    </xdr:from>
    <xdr:to>
      <xdr:col>5</xdr:col>
      <xdr:colOff>327660</xdr:colOff>
      <xdr:row>22</xdr:row>
      <xdr:rowOff>167640</xdr:rowOff>
    </xdr:to>
    <xdr:sp macro="" textlink="">
      <xdr:nvSpPr>
        <xdr:cNvPr id="982453" name="1 Hexágono">
          <a:extLst>
            <a:ext uri="{FF2B5EF4-FFF2-40B4-BE49-F238E27FC236}">
              <a16:creationId xmlns:a16="http://schemas.microsoft.com/office/drawing/2014/main" id="{3877D411-D053-137F-39A0-7A406F88F855}"/>
            </a:ext>
          </a:extLst>
        </xdr:cNvPr>
        <xdr:cNvSpPr>
          <a:spLocks noChangeArrowheads="1"/>
        </xdr:cNvSpPr>
      </xdr:nvSpPr>
      <xdr:spPr bwMode="auto">
        <a:xfrm>
          <a:off x="6553200" y="4274820"/>
          <a:ext cx="11430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30</xdr:row>
      <xdr:rowOff>38100</xdr:rowOff>
    </xdr:from>
    <xdr:to>
      <xdr:col>1</xdr:col>
      <xdr:colOff>335280</xdr:colOff>
      <xdr:row>30</xdr:row>
      <xdr:rowOff>167640</xdr:rowOff>
    </xdr:to>
    <xdr:sp macro="" textlink="">
      <xdr:nvSpPr>
        <xdr:cNvPr id="982455" name="2 Hexágono">
          <a:extLst>
            <a:ext uri="{FF2B5EF4-FFF2-40B4-BE49-F238E27FC236}">
              <a16:creationId xmlns:a16="http://schemas.microsoft.com/office/drawing/2014/main" id="{78FCA26C-DCAE-D561-1FB0-991BD991F2D9}"/>
            </a:ext>
          </a:extLst>
        </xdr:cNvPr>
        <xdr:cNvSpPr>
          <a:spLocks noChangeArrowheads="1"/>
        </xdr:cNvSpPr>
      </xdr:nvSpPr>
      <xdr:spPr bwMode="auto">
        <a:xfrm>
          <a:off x="571500" y="590550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31</xdr:row>
      <xdr:rowOff>38100</xdr:rowOff>
    </xdr:from>
    <xdr:to>
      <xdr:col>1</xdr:col>
      <xdr:colOff>335280</xdr:colOff>
      <xdr:row>31</xdr:row>
      <xdr:rowOff>167640</xdr:rowOff>
    </xdr:to>
    <xdr:sp macro="" textlink="">
      <xdr:nvSpPr>
        <xdr:cNvPr id="982456" name="2 Hexágono">
          <a:extLst>
            <a:ext uri="{FF2B5EF4-FFF2-40B4-BE49-F238E27FC236}">
              <a16:creationId xmlns:a16="http://schemas.microsoft.com/office/drawing/2014/main" id="{934663EF-0E17-E486-E808-FBC66903C6AF}"/>
            </a:ext>
          </a:extLst>
        </xdr:cNvPr>
        <xdr:cNvSpPr>
          <a:spLocks noChangeArrowheads="1"/>
        </xdr:cNvSpPr>
      </xdr:nvSpPr>
      <xdr:spPr bwMode="auto">
        <a:xfrm>
          <a:off x="571500" y="610362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35</xdr:row>
      <xdr:rowOff>38100</xdr:rowOff>
    </xdr:from>
    <xdr:to>
      <xdr:col>1</xdr:col>
      <xdr:colOff>335280</xdr:colOff>
      <xdr:row>35</xdr:row>
      <xdr:rowOff>167640</xdr:rowOff>
    </xdr:to>
    <xdr:sp macro="" textlink="">
      <xdr:nvSpPr>
        <xdr:cNvPr id="982457" name="2 Hexágono">
          <a:extLst>
            <a:ext uri="{FF2B5EF4-FFF2-40B4-BE49-F238E27FC236}">
              <a16:creationId xmlns:a16="http://schemas.microsoft.com/office/drawing/2014/main" id="{4079D5A6-F2BC-FB06-15BC-CD7CEDE637C0}"/>
            </a:ext>
          </a:extLst>
        </xdr:cNvPr>
        <xdr:cNvSpPr>
          <a:spLocks noChangeArrowheads="1"/>
        </xdr:cNvSpPr>
      </xdr:nvSpPr>
      <xdr:spPr bwMode="auto">
        <a:xfrm>
          <a:off x="571500" y="6918960"/>
          <a:ext cx="106680" cy="129540"/>
        </a:xfrm>
        <a:prstGeom prst="hexagon">
          <a:avLst>
            <a:gd name="adj" fmla="val 21875"/>
            <a:gd name="vf" fmla="val 115470"/>
          </a:avLst>
        </a:prstGeom>
        <a:solidFill>
          <a:srgbClr val="9BBB59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539114</xdr:colOff>
      <xdr:row>4</xdr:row>
      <xdr:rowOff>45720</xdr:rowOff>
    </xdr:from>
    <xdr:to>
      <xdr:col>13</xdr:col>
      <xdr:colOff>708210</xdr:colOff>
      <xdr:row>17</xdr:row>
      <xdr:rowOff>107576</xdr:rowOff>
    </xdr:to>
    <xdr:graphicFrame macro="">
      <xdr:nvGraphicFramePr>
        <xdr:cNvPr id="5276" name="Chart 4">
          <a:extLst>
            <a:ext uri="{FF2B5EF4-FFF2-40B4-BE49-F238E27FC236}">
              <a16:creationId xmlns:a16="http://schemas.microsoft.com/office/drawing/2014/main" id="{87BCE8E3-DE6D-B6F3-AD0C-A4EF0B9D8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0.36834</cdr:x>
      <cdr:y>0.49146</cdr:y>
    </cdr:from>
    <cdr:to>
      <cdr:x>0.41092</cdr:x>
      <cdr:y>0.56226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61985" y="875710"/>
          <a:ext cx="142882" cy="139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s-ES" sz="675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969644</xdr:colOff>
      <xdr:row>27</xdr:row>
      <xdr:rowOff>173354</xdr:rowOff>
    </xdr:from>
    <xdr:to>
      <xdr:col>8</xdr:col>
      <xdr:colOff>523874</xdr:colOff>
      <xdr:row>42</xdr:row>
      <xdr:rowOff>171450</xdr:rowOff>
    </xdr:to>
    <xdr:graphicFrame macro="">
      <xdr:nvGraphicFramePr>
        <xdr:cNvPr id="936021" name="6 Gráfico">
          <a:extLst>
            <a:ext uri="{FF2B5EF4-FFF2-40B4-BE49-F238E27FC236}">
              <a16:creationId xmlns:a16="http://schemas.microsoft.com/office/drawing/2014/main" id="{7C818A99-82B1-6B41-9A3B-B77AB8CD0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7619</xdr:colOff>
      <xdr:row>1</xdr:row>
      <xdr:rowOff>0</xdr:rowOff>
    </xdr:from>
    <xdr:to>
      <xdr:col>8</xdr:col>
      <xdr:colOff>542925</xdr:colOff>
      <xdr:row>11</xdr:row>
      <xdr:rowOff>47625</xdr:rowOff>
    </xdr:to>
    <xdr:graphicFrame macro="">
      <xdr:nvGraphicFramePr>
        <xdr:cNvPr id="936022" name="Chart 4">
          <a:extLst>
            <a:ext uri="{FF2B5EF4-FFF2-40B4-BE49-F238E27FC236}">
              <a16:creationId xmlns:a16="http://schemas.microsoft.com/office/drawing/2014/main" id="{699D4B32-37D6-3D05-BFC4-77F1904E5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11</xdr:row>
      <xdr:rowOff>148590</xdr:rowOff>
    </xdr:from>
    <xdr:to>
      <xdr:col>8</xdr:col>
      <xdr:colOff>533400</xdr:colOff>
      <xdr:row>27</xdr:row>
      <xdr:rowOff>38100</xdr:rowOff>
    </xdr:to>
    <xdr:graphicFrame macro="">
      <xdr:nvGraphicFramePr>
        <xdr:cNvPr id="936023" name="2 Gráfico">
          <a:extLst>
            <a:ext uri="{FF2B5EF4-FFF2-40B4-BE49-F238E27FC236}">
              <a16:creationId xmlns:a16="http://schemas.microsoft.com/office/drawing/2014/main" id="{DF32D8BF-FC82-83C0-A48C-9C1853150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967740</xdr:colOff>
      <xdr:row>43</xdr:row>
      <xdr:rowOff>106680</xdr:rowOff>
    </xdr:from>
    <xdr:to>
      <xdr:col>8</xdr:col>
      <xdr:colOff>523875</xdr:colOff>
      <xdr:row>59</xdr:row>
      <xdr:rowOff>57150</xdr:rowOff>
    </xdr:to>
    <xdr:graphicFrame macro="">
      <xdr:nvGraphicFramePr>
        <xdr:cNvPr id="936024" name="4 Gráfico">
          <a:extLst>
            <a:ext uri="{FF2B5EF4-FFF2-40B4-BE49-F238E27FC236}">
              <a16:creationId xmlns:a16="http://schemas.microsoft.com/office/drawing/2014/main" id="{13275A04-0590-A7D1-2468-A9EFED059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36</xdr:row>
      <xdr:rowOff>30480</xdr:rowOff>
    </xdr:from>
    <xdr:to>
      <xdr:col>7</xdr:col>
      <xdr:colOff>807720</xdr:colOff>
      <xdr:row>50</xdr:row>
      <xdr:rowOff>30480</xdr:rowOff>
    </xdr:to>
    <xdr:graphicFrame macro="">
      <xdr:nvGraphicFramePr>
        <xdr:cNvPr id="16461" name="2 Gráfico">
          <a:extLst>
            <a:ext uri="{FF2B5EF4-FFF2-40B4-BE49-F238E27FC236}">
              <a16:creationId xmlns:a16="http://schemas.microsoft.com/office/drawing/2014/main" id="{5D653E38-8F19-BC37-4EE9-2173C212C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731520</xdr:colOff>
      <xdr:row>15</xdr:row>
      <xdr:rowOff>45720</xdr:rowOff>
    </xdr:from>
    <xdr:to>
      <xdr:col>11</xdr:col>
      <xdr:colOff>121920</xdr:colOff>
      <xdr:row>28</xdr:row>
      <xdr:rowOff>0</xdr:rowOff>
    </xdr:to>
    <xdr:graphicFrame macro="">
      <xdr:nvGraphicFramePr>
        <xdr:cNvPr id="3295" name="Chart 112">
          <a:extLst>
            <a:ext uri="{FF2B5EF4-FFF2-40B4-BE49-F238E27FC236}">
              <a16:creationId xmlns:a16="http://schemas.microsoft.com/office/drawing/2014/main" id="{1DAC4797-4AD4-90FB-11BD-A1A8B77F1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OSCAR/Impulso%20Empresarial/3.1%20Clientes/1%20Actuales/Suquimsa%202013-2014/Finanzas%20del%20plan/Proyecciones/SUQUIMSA%202013%20Ananlisis%20y%20Futuro%20(3)%20(Copia%20en%20conflicto%20de%20usuario-PC%202014-01-13).xls" TargetMode="External"/><Relationship Id="rId1" Type="http://schemas.openxmlformats.org/officeDocument/2006/relationships/externalLinkPath" Target="/Users/Admin/Desktop/PERSONAL/OSCAR/Impulso%20Empresarial/3.1%20Clientes/1%20Actuales/Suquimsa%202013-2014/Finanzas%20del%20plan/Proyecciones/SUQUIMSA%202013%20Ananlisis%20y%20Futuro%20(3)%20(Copia%20en%20conflicto%20de%20usuario-PC%202014-01-13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OSCAR/Impulso%20Empresarial/3.1%20Clientes/1%20Actuales/Suquimsa%202013-2014/Finanzas%20del%20plan/Proyecciones/Estados%20Financieros%20Combinados.xls" TargetMode="External"/><Relationship Id="rId1" Type="http://schemas.openxmlformats.org/officeDocument/2006/relationships/externalLinkPath" Target="/Users/Admin/Desktop/PERSONAL/OSCAR/Impulso%20Empresarial/3.1%20Clientes/1%20Actuales/Suquimsa%202013-2014/Finanzas%20del%20plan/Proyecciones/Estados%20Financieros%20Combina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ido"/>
      <sheetName val="Objetivos Financieros"/>
      <sheetName val="P&amp;L (Old)"/>
      <sheetName val="Ingresos"/>
      <sheetName val="P&amp;L (New)"/>
      <sheetName val="Costos"/>
      <sheetName val="DATOS Income - 12 Period"/>
      <sheetName val="Gastos"/>
      <sheetName val="PRESTAMOS"/>
      <sheetName val="Personal"/>
      <sheetName val="LEASING"/>
      <sheetName val="Balance General"/>
      <sheetName val="Flujo de Efectivo"/>
      <sheetName val="7.-Bal. Gral."/>
      <sheetName val="Ra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Empresa  Suquimsa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talle Balance"/>
      <sheetName val="Balance No.1"/>
      <sheetName val="balance"/>
      <sheetName val="Resultado"/>
      <sheetName val="Hoja2"/>
      <sheetName val="cambio patrimonio"/>
      <sheetName val="flujo de efectivo"/>
      <sheetName val="Anexo No.1 A"/>
      <sheetName val="Anexo No.1"/>
      <sheetName val="Anexo No.2"/>
      <sheetName val="Anexo No.3"/>
      <sheetName val="Anexo No.41"/>
      <sheetName val="Anexo No.21"/>
      <sheetName val="Anexo No.3A"/>
      <sheetName val="Anexo No."/>
      <sheetName val="Anexo No.4"/>
      <sheetName val="Anexo No.5"/>
      <sheetName val="Anexo No.6"/>
      <sheetName val="Anexo No.7"/>
      <sheetName val="Hoja1"/>
      <sheetName val="Hoja3"/>
      <sheetName val="Sheet1"/>
      <sheetName val="Sheet2"/>
      <sheetName val="Sheet3"/>
      <sheetName val="Sheet4"/>
      <sheetName val="Hoja de Trabajo"/>
    </sheetNames>
    <sheetDataSet>
      <sheetData sheetId="0" refreshError="1"/>
      <sheetData sheetId="1" refreshError="1"/>
      <sheetData sheetId="2" refreshError="1">
        <row r="7">
          <cell r="D7" t="str">
            <v>2012</v>
          </cell>
          <cell r="F7" t="str">
            <v>2011</v>
          </cell>
        </row>
      </sheetData>
      <sheetData sheetId="3" refreshError="1"/>
      <sheetData sheetId="4" refreshError="1">
        <row r="17">
          <cell r="H17">
            <v>724227.09</v>
          </cell>
          <cell r="Y17">
            <v>874044.87</v>
          </cell>
        </row>
        <row r="26">
          <cell r="H26">
            <v>25313.96</v>
          </cell>
          <cell r="Y26">
            <v>1876.81</v>
          </cell>
        </row>
        <row r="27">
          <cell r="H27">
            <v>285</v>
          </cell>
          <cell r="Y27">
            <v>522.05999999999995</v>
          </cell>
        </row>
        <row r="28">
          <cell r="H28">
            <v>27963.55</v>
          </cell>
          <cell r="Y28">
            <v>23418.65</v>
          </cell>
        </row>
        <row r="32">
          <cell r="H32">
            <v>22853.21</v>
          </cell>
          <cell r="Y32">
            <v>26895.71</v>
          </cell>
        </row>
        <row r="34">
          <cell r="H34">
            <v>29122.15</v>
          </cell>
          <cell r="Y34">
            <v>26884.18</v>
          </cell>
        </row>
        <row r="38">
          <cell r="H38">
            <v>80331.23</v>
          </cell>
          <cell r="Y38">
            <v>45496.11</v>
          </cell>
        </row>
        <row r="39">
          <cell r="H39">
            <v>25665.120000000003</v>
          </cell>
          <cell r="Y39">
            <v>27974.3</v>
          </cell>
        </row>
        <row r="46">
          <cell r="H46">
            <v>23394.47</v>
          </cell>
          <cell r="Y46">
            <v>21929.759999999998</v>
          </cell>
        </row>
        <row r="48">
          <cell r="H48">
            <v>21357.11</v>
          </cell>
          <cell r="Y48">
            <v>127038.40000000001</v>
          </cell>
        </row>
        <row r="51">
          <cell r="H51">
            <v>19027.07</v>
          </cell>
          <cell r="Y51">
            <v>51983.61</v>
          </cell>
        </row>
        <row r="56">
          <cell r="H56">
            <v>2377.98</v>
          </cell>
          <cell r="Y56">
            <v>4104.29</v>
          </cell>
        </row>
        <row r="58">
          <cell r="H58">
            <v>7918.24</v>
          </cell>
          <cell r="Y58">
            <v>12773.220000000001</v>
          </cell>
        </row>
        <row r="59">
          <cell r="H59">
            <v>232.51</v>
          </cell>
          <cell r="Y59">
            <v>0</v>
          </cell>
        </row>
        <row r="61">
          <cell r="H61">
            <v>15842.94</v>
          </cell>
          <cell r="Y61">
            <v>16281.82</v>
          </cell>
        </row>
        <row r="62">
          <cell r="H62">
            <v>2555.88</v>
          </cell>
          <cell r="Y62">
            <v>1319.39</v>
          </cell>
        </row>
        <row r="63">
          <cell r="H63">
            <v>13012.76</v>
          </cell>
          <cell r="Y63">
            <v>12362.01</v>
          </cell>
        </row>
        <row r="66">
          <cell r="H66">
            <v>2244.6399999999994</v>
          </cell>
          <cell r="Y66">
            <v>6384.98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A3CC90-0940-4D51-A754-E51BDB9FAB93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D415-46C0-4873-ADE6-5F02D7BF8F9B}">
  <dimension ref="A1:H27"/>
  <sheetViews>
    <sheetView showGridLines="0" workbookViewId="0">
      <selection activeCell="C23" sqref="C23"/>
    </sheetView>
  </sheetViews>
  <sheetFormatPr defaultRowHeight="15.6" outlineLevelRow="1" x14ac:dyDescent="0.3"/>
  <cols>
    <col min="1" max="1" width="3.81640625" customWidth="1"/>
    <col min="2" max="2" width="38.26953125" bestFit="1" customWidth="1"/>
    <col min="3" max="3" width="62.7265625" bestFit="1" customWidth="1"/>
    <col min="4" max="7" width="10.90625" customWidth="1"/>
    <col min="8" max="8" width="13" customWidth="1"/>
    <col min="9" max="256" width="10.90625" customWidth="1"/>
  </cols>
  <sheetData>
    <row r="1" spans="1:8" x14ac:dyDescent="0.3">
      <c r="A1" s="24"/>
      <c r="B1" s="24"/>
      <c r="C1" s="24"/>
      <c r="D1" s="24"/>
      <c r="E1" s="24"/>
      <c r="F1" s="24"/>
      <c r="G1" s="24"/>
      <c r="H1" s="24"/>
    </row>
    <row r="2" spans="1:8" x14ac:dyDescent="0.3">
      <c r="A2" s="24"/>
      <c r="B2" s="319" t="s">
        <v>167</v>
      </c>
      <c r="C2" s="319"/>
      <c r="D2" s="319"/>
      <c r="E2" s="319"/>
      <c r="F2" s="319"/>
      <c r="G2" s="24"/>
      <c r="H2" s="24"/>
    </row>
    <row r="3" spans="1:8" x14ac:dyDescent="0.3">
      <c r="A3" s="24"/>
      <c r="B3" s="24" t="s">
        <v>168</v>
      </c>
      <c r="C3" s="24"/>
      <c r="D3" s="24"/>
      <c r="E3" s="24"/>
      <c r="F3" s="24"/>
      <c r="G3" s="24"/>
      <c r="H3" s="24"/>
    </row>
    <row r="4" spans="1:8" x14ac:dyDescent="0.3">
      <c r="A4" s="26"/>
      <c r="B4" s="27" t="s">
        <v>169</v>
      </c>
      <c r="C4" s="28"/>
      <c r="D4" s="28"/>
      <c r="E4" s="28"/>
      <c r="F4" s="28"/>
      <c r="G4" s="26"/>
      <c r="H4" s="26"/>
    </row>
    <row r="5" spans="1:8" x14ac:dyDescent="0.3">
      <c r="A5" s="26"/>
      <c r="B5" s="26"/>
      <c r="C5" s="26"/>
      <c r="D5" s="26"/>
      <c r="E5" s="26"/>
      <c r="F5" s="26"/>
      <c r="G5" s="26"/>
      <c r="H5" s="26"/>
    </row>
    <row r="6" spans="1:8" x14ac:dyDescent="0.3">
      <c r="A6" s="26"/>
      <c r="B6" s="26" t="s">
        <v>57</v>
      </c>
      <c r="C6" s="26" t="s">
        <v>170</v>
      </c>
      <c r="D6" s="26"/>
      <c r="E6" s="26"/>
      <c r="F6" s="26"/>
      <c r="G6" s="26"/>
      <c r="H6" s="26"/>
    </row>
    <row r="7" spans="1:8" x14ac:dyDescent="0.3">
      <c r="A7" s="26"/>
      <c r="B7" s="26"/>
      <c r="C7" s="26"/>
      <c r="D7" s="26"/>
      <c r="E7" s="26"/>
      <c r="F7" s="26"/>
      <c r="G7" s="26"/>
      <c r="H7" s="26"/>
    </row>
    <row r="8" spans="1:8" x14ac:dyDescent="0.3">
      <c r="A8" s="26"/>
      <c r="B8" s="317" t="s">
        <v>171</v>
      </c>
      <c r="C8" s="26" t="s">
        <v>400</v>
      </c>
      <c r="D8" s="26"/>
      <c r="E8" s="26"/>
      <c r="F8" s="26"/>
      <c r="G8" s="26"/>
      <c r="H8" s="26"/>
    </row>
    <row r="9" spans="1:8" x14ac:dyDescent="0.3">
      <c r="A9" s="26"/>
      <c r="B9" s="317" t="s">
        <v>172</v>
      </c>
      <c r="C9" s="26" t="s">
        <v>396</v>
      </c>
      <c r="D9" s="26"/>
      <c r="E9" s="26"/>
      <c r="F9" s="26"/>
      <c r="G9" s="26"/>
      <c r="H9" s="26"/>
    </row>
    <row r="10" spans="1:8" x14ac:dyDescent="0.3">
      <c r="A10" s="26"/>
      <c r="B10" s="317" t="s">
        <v>173</v>
      </c>
      <c r="C10" s="26" t="s">
        <v>397</v>
      </c>
      <c r="D10" s="26"/>
      <c r="E10" s="26"/>
      <c r="F10" s="26"/>
      <c r="G10" s="26"/>
      <c r="H10" s="26"/>
    </row>
    <row r="11" spans="1:8" x14ac:dyDescent="0.3">
      <c r="A11" s="26"/>
      <c r="B11" s="317" t="s">
        <v>136</v>
      </c>
      <c r="C11" s="26" t="s">
        <v>398</v>
      </c>
      <c r="D11" s="26"/>
      <c r="E11" s="26"/>
      <c r="F11" s="26"/>
      <c r="G11" s="26"/>
      <c r="H11" s="26"/>
    </row>
    <row r="12" spans="1:8" x14ac:dyDescent="0.3">
      <c r="A12" s="26"/>
      <c r="B12" s="29" t="s">
        <v>2</v>
      </c>
      <c r="C12" s="26" t="s">
        <v>399</v>
      </c>
      <c r="D12" s="26"/>
      <c r="E12" s="26"/>
      <c r="F12" s="26"/>
      <c r="G12" s="26"/>
      <c r="H12" s="26"/>
    </row>
    <row r="13" spans="1:8" x14ac:dyDescent="0.3">
      <c r="A13" s="26"/>
      <c r="B13" s="26"/>
      <c r="C13" s="26"/>
      <c r="D13" s="26"/>
      <c r="E13" s="26"/>
      <c r="F13" s="26"/>
      <c r="G13" s="26"/>
      <c r="H13" s="26"/>
    </row>
    <row r="14" spans="1:8" x14ac:dyDescent="0.3">
      <c r="A14" s="26"/>
      <c r="B14" s="317" t="s">
        <v>432</v>
      </c>
      <c r="C14" s="26" t="s">
        <v>174</v>
      </c>
      <c r="D14" s="26"/>
      <c r="E14" s="26"/>
      <c r="F14" s="26"/>
      <c r="G14" s="26"/>
      <c r="H14" s="26"/>
    </row>
    <row r="15" spans="1:8" x14ac:dyDescent="0.3">
      <c r="A15" s="26"/>
      <c r="B15" s="317" t="s">
        <v>277</v>
      </c>
      <c r="C15" s="26" t="s">
        <v>175</v>
      </c>
      <c r="D15" s="26"/>
      <c r="E15" s="26"/>
      <c r="F15" s="26"/>
      <c r="G15" s="26"/>
      <c r="H15" s="26"/>
    </row>
    <row r="16" spans="1:8" outlineLevel="1" x14ac:dyDescent="0.3">
      <c r="A16" s="26"/>
      <c r="B16" s="29" t="s">
        <v>176</v>
      </c>
      <c r="C16" s="26" t="s">
        <v>177</v>
      </c>
      <c r="D16" s="26"/>
      <c r="E16" s="26"/>
      <c r="F16" s="26"/>
      <c r="G16" s="26"/>
      <c r="H16" s="26"/>
    </row>
    <row r="17" spans="1:8" outlineLevel="1" x14ac:dyDescent="0.3">
      <c r="A17" s="26"/>
      <c r="B17" s="29" t="s">
        <v>178</v>
      </c>
      <c r="C17" s="26" t="s">
        <v>179</v>
      </c>
      <c r="D17" s="26"/>
      <c r="E17" s="26"/>
      <c r="F17" s="26"/>
      <c r="G17" s="26"/>
      <c r="H17" s="26"/>
    </row>
    <row r="18" spans="1:8" x14ac:dyDescent="0.3">
      <c r="A18" s="26"/>
      <c r="B18" s="26"/>
      <c r="C18" s="26"/>
      <c r="D18" s="26"/>
      <c r="E18" s="26"/>
      <c r="F18" s="26"/>
      <c r="G18" s="26"/>
      <c r="H18" s="26"/>
    </row>
    <row r="27" spans="1:8" x14ac:dyDescent="0.3">
      <c r="D27">
        <v>3</v>
      </c>
    </row>
  </sheetData>
  <mergeCells count="1">
    <mergeCell ref="B2:F2"/>
  </mergeCells>
  <phoneticPr fontId="0" type="noConversion"/>
  <hyperlinks>
    <hyperlink ref="B14" location="LOANS!A1" display="Loans" xr:uid="{434B4B0D-E882-4CD1-9759-92325253BC43}"/>
    <hyperlink ref="B12" location="Personal!A1" display="Personal" xr:uid="{1036993B-8ED4-4A90-819C-A4EFEB130BBC}"/>
    <hyperlink ref="B11" location="Expenses!A1" display="Expenses" xr:uid="{336E38F5-08C0-46AA-84D2-9F1B1A09C3DE}"/>
    <hyperlink ref="B15" location="'P&amp;L (New)'!A1" display="Income Statement" xr:uid="{5AF96E28-6D0A-4696-AF70-1737CAAA1063}"/>
    <hyperlink ref="B16" location="'7.-Bal. Gral.'!A1" display="Balance General" xr:uid="{72E6DAEC-9CE2-4953-8D8B-CB176FA82E69}"/>
    <hyperlink ref="B17" location="Razones!A1" display="Razones" xr:uid="{C4EA72BC-4F47-44B2-9F10-9815463B88BB}"/>
    <hyperlink ref="B8" location="'Financial Objectives'!A1" display="Financial Objectives" xr:uid="{A2DE181A-1D53-485A-B71C-5FC13B729B72}"/>
    <hyperlink ref="B10" location="Costs!A1" display="Costs" xr:uid="{6368D299-69FC-4B50-A992-BB0FAF9ADD86}"/>
    <hyperlink ref="B9" location="Revenue!A1" display="Revenue" xr:uid="{7E5BB083-CB72-42E1-A7C9-33B63BEBBFEB}"/>
  </hyperlinks>
  <pageMargins left="0.75" right="0.75" top="1" bottom="1" header="0" footer="0"/>
  <pageSetup orientation="landscape" horizontalDpi="4294967293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F3E5-8FE8-46E2-81EE-AF1E16A32732}">
  <sheetPr codeName="Hoja6"/>
  <dimension ref="A1:S78"/>
  <sheetViews>
    <sheetView showGridLines="0" topLeftCell="B19" zoomScale="80" zoomScaleNormal="80" workbookViewId="0">
      <selection activeCell="B20" sqref="B20"/>
    </sheetView>
  </sheetViews>
  <sheetFormatPr defaultColWidth="9.81640625" defaultRowHeight="15" outlineLevelRow="1" x14ac:dyDescent="0.25"/>
  <cols>
    <col min="1" max="1" width="15.6328125" style="5" bestFit="1" customWidth="1"/>
    <col min="2" max="2" width="87.26953125" style="5" bestFit="1" customWidth="1"/>
    <col min="3" max="3" width="10.81640625" style="5" bestFit="1" customWidth="1"/>
    <col min="4" max="4" width="6.26953125" style="5" bestFit="1" customWidth="1"/>
    <col min="5" max="5" width="15.6328125" style="5" bestFit="1" customWidth="1"/>
    <col min="6" max="6" width="8.26953125" style="5" bestFit="1" customWidth="1"/>
    <col min="7" max="7" width="10.6328125" style="5" bestFit="1" customWidth="1"/>
    <col min="8" max="9" width="8.26953125" style="5" bestFit="1" customWidth="1"/>
    <col min="10" max="10" width="10.6328125" style="5" bestFit="1" customWidth="1"/>
    <col min="11" max="11" width="5.453125" style="5" bestFit="1" customWidth="1"/>
    <col min="12" max="13" width="11.54296875" style="5" customWidth="1"/>
    <col min="14" max="14" width="13.08984375" style="5" bestFit="1" customWidth="1"/>
    <col min="15" max="15" width="10.1796875" style="11" bestFit="1" customWidth="1"/>
    <col min="16" max="16" width="33" style="11" bestFit="1" customWidth="1"/>
    <col min="17" max="17" width="9.6328125" style="12" bestFit="1" customWidth="1"/>
    <col min="18" max="18" width="4.6328125" style="11" bestFit="1" customWidth="1"/>
    <col min="19" max="19" width="10.54296875" style="13" bestFit="1" customWidth="1"/>
    <col min="20" max="16384" width="9.81640625" style="5"/>
  </cols>
  <sheetData>
    <row r="1" spans="1:19" x14ac:dyDescent="0.25">
      <c r="A1" s="30" t="str">
        <f>Costs!A1:I1</f>
        <v>Company  Suquimsa</v>
      </c>
      <c r="B1" s="31" t="s">
        <v>58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  <c r="Q1" s="34"/>
      <c r="R1" s="33"/>
      <c r="S1" s="35"/>
    </row>
    <row r="2" spans="1:19" x14ac:dyDescent="0.25">
      <c r="A2" s="30" t="s">
        <v>180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  <c r="Q2" s="34"/>
      <c r="R2" s="33"/>
      <c r="S2" s="35"/>
    </row>
    <row r="3" spans="1:19" x14ac:dyDescent="0.25">
      <c r="A3" s="30" t="s">
        <v>82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34"/>
      <c r="R3" s="33"/>
      <c r="S3" s="35"/>
    </row>
    <row r="4" spans="1:19" x14ac:dyDescent="0.25">
      <c r="A4" s="36"/>
      <c r="B4" s="37"/>
      <c r="C4" s="37"/>
      <c r="D4" s="37"/>
      <c r="E4" s="38"/>
      <c r="F4" s="37"/>
      <c r="G4" s="37"/>
      <c r="H4" s="37"/>
      <c r="I4" s="37"/>
      <c r="J4" s="37"/>
      <c r="K4" s="37"/>
      <c r="L4" s="37"/>
      <c r="M4" s="37"/>
      <c r="N4" s="39"/>
      <c r="O4" s="40"/>
      <c r="P4" s="41"/>
      <c r="Q4" s="42"/>
      <c r="R4" s="41"/>
      <c r="S4" s="43"/>
    </row>
    <row r="5" spans="1:19" x14ac:dyDescent="0.25">
      <c r="A5" s="44"/>
      <c r="B5" s="44"/>
      <c r="C5" s="45" t="s">
        <v>181</v>
      </c>
      <c r="D5" s="45"/>
      <c r="E5" s="45"/>
      <c r="F5" s="45"/>
      <c r="G5" s="45" t="s">
        <v>182</v>
      </c>
      <c r="H5" s="45"/>
      <c r="I5" s="45"/>
      <c r="J5" s="45" t="s">
        <v>182</v>
      </c>
      <c r="K5" s="45"/>
      <c r="L5" s="45"/>
      <c r="M5" s="45"/>
      <c r="N5" s="46"/>
      <c r="O5" s="47" t="s">
        <v>183</v>
      </c>
      <c r="P5" s="47"/>
      <c r="Q5" s="48" t="s">
        <v>54</v>
      </c>
      <c r="R5" s="41"/>
      <c r="S5" s="49" t="s">
        <v>184</v>
      </c>
    </row>
    <row r="6" spans="1:19" s="6" customFormat="1" ht="13.8" x14ac:dyDescent="0.25">
      <c r="A6" s="44"/>
      <c r="B6" s="44"/>
      <c r="C6" s="50"/>
      <c r="D6" s="50"/>
      <c r="E6" s="38" t="s">
        <v>185</v>
      </c>
      <c r="F6" s="38"/>
      <c r="G6" s="38"/>
      <c r="H6" s="38"/>
      <c r="I6" s="38"/>
      <c r="J6" s="38"/>
      <c r="K6" s="38"/>
      <c r="L6" s="51"/>
      <c r="M6" s="51"/>
      <c r="N6" s="44"/>
      <c r="O6" s="52">
        <v>2006</v>
      </c>
      <c r="P6" s="41"/>
      <c r="Q6" s="42" t="s">
        <v>54</v>
      </c>
      <c r="R6" s="41"/>
      <c r="S6" s="43" t="s">
        <v>184</v>
      </c>
    </row>
    <row r="7" spans="1:19" s="6" customFormat="1" ht="13.8" x14ac:dyDescent="0.25">
      <c r="A7" s="44"/>
      <c r="B7" s="44"/>
      <c r="C7" s="51">
        <v>2004</v>
      </c>
      <c r="D7" s="51">
        <v>2005</v>
      </c>
      <c r="E7" s="51">
        <v>2006</v>
      </c>
      <c r="F7" s="51">
        <f t="shared" ref="F7:K7" si="0">E7+1</f>
        <v>2007</v>
      </c>
      <c r="G7" s="51">
        <f t="shared" si="0"/>
        <v>2008</v>
      </c>
      <c r="H7" s="51">
        <f t="shared" si="0"/>
        <v>2009</v>
      </c>
      <c r="I7" s="51">
        <f t="shared" si="0"/>
        <v>2010</v>
      </c>
      <c r="J7" s="51">
        <f t="shared" si="0"/>
        <v>2011</v>
      </c>
      <c r="K7" s="51">
        <f t="shared" si="0"/>
        <v>2012</v>
      </c>
      <c r="L7" s="45"/>
      <c r="M7" s="45"/>
      <c r="N7" s="44"/>
      <c r="O7" s="53"/>
      <c r="P7" s="53"/>
      <c r="Q7" s="54"/>
      <c r="R7" s="53"/>
      <c r="S7" s="55"/>
    </row>
    <row r="8" spans="1:19" s="6" customFormat="1" ht="13.8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5"/>
      <c r="L8" s="45"/>
      <c r="M8" s="45"/>
      <c r="N8" s="44"/>
      <c r="O8" s="53"/>
      <c r="P8" s="56">
        <f>O8+1</f>
        <v>1</v>
      </c>
      <c r="Q8" s="57"/>
      <c r="R8" s="56">
        <f>Q8+1</f>
        <v>1</v>
      </c>
      <c r="S8" s="55"/>
    </row>
    <row r="9" spans="1:19" s="6" customFormat="1" ht="13.8" x14ac:dyDescent="0.25">
      <c r="A9" s="45"/>
      <c r="B9" s="58" t="s">
        <v>186</v>
      </c>
      <c r="C9" s="58">
        <v>232109</v>
      </c>
      <c r="D9" s="59" t="e">
        <f>Revenue!#REF!</f>
        <v>#REF!</v>
      </c>
      <c r="E9" s="59">
        <v>666134</v>
      </c>
      <c r="F9" s="59">
        <v>1018321</v>
      </c>
      <c r="G9" s="59">
        <f>Revenue!F23</f>
        <v>1457273</v>
      </c>
      <c r="H9" s="59">
        <f>Revenue!G23</f>
        <v>1868951.6692504338</v>
      </c>
      <c r="I9" s="59">
        <f>Revenue!H23</f>
        <v>2172293.1791104684</v>
      </c>
      <c r="J9" s="59">
        <f>Revenue!I23</f>
        <v>2499902.009759306</v>
      </c>
      <c r="K9" s="59"/>
      <c r="L9" s="59"/>
      <c r="M9" s="59"/>
      <c r="N9" s="44"/>
      <c r="O9" s="60">
        <v>675438.75</v>
      </c>
      <c r="P9" s="61" t="e">
        <f>E9/D9</f>
        <v>#REF!</v>
      </c>
      <c r="Q9" s="62">
        <f>E9-O9</f>
        <v>-9304.75</v>
      </c>
      <c r="R9" s="61">
        <f>G9/F9</f>
        <v>1.4310546477976984</v>
      </c>
      <c r="S9" s="55">
        <f>E9/O9</f>
        <v>0.98622413949451371</v>
      </c>
    </row>
    <row r="10" spans="1:19" s="6" customFormat="1" ht="13.8" x14ac:dyDescent="0.25">
      <c r="A10" s="45"/>
      <c r="B10" s="45"/>
      <c r="C10" s="45"/>
      <c r="D10" s="45"/>
      <c r="E10" s="63" t="s">
        <v>12</v>
      </c>
      <c r="F10" s="63"/>
      <c r="G10" s="63"/>
      <c r="H10" s="63"/>
      <c r="I10" s="63"/>
      <c r="J10" s="63"/>
      <c r="K10" s="63"/>
      <c r="L10" s="63"/>
      <c r="M10" s="63"/>
      <c r="N10" s="44"/>
      <c r="O10" s="64" t="s">
        <v>12</v>
      </c>
      <c r="P10" s="53"/>
      <c r="Q10" s="65"/>
      <c r="R10" s="53"/>
      <c r="S10" s="55"/>
    </row>
    <row r="11" spans="1:19" s="6" customFormat="1" ht="13.8" x14ac:dyDescent="0.25">
      <c r="A11" s="45"/>
      <c r="B11" s="58" t="s">
        <v>187</v>
      </c>
      <c r="C11" s="58">
        <v>76596</v>
      </c>
      <c r="D11" s="66">
        <f>Costs!D18</f>
        <v>0</v>
      </c>
      <c r="E11" s="66">
        <v>266160</v>
      </c>
      <c r="F11" s="66">
        <v>445602</v>
      </c>
      <c r="G11" s="66">
        <f>Costs!G18</f>
        <v>749626.34211026016</v>
      </c>
      <c r="H11" s="66">
        <f>Costs!H18</f>
        <v>841899.77850628085</v>
      </c>
      <c r="I11" s="66">
        <f>Costs!I18</f>
        <v>937247.97927702335</v>
      </c>
      <c r="J11" s="66" t="e">
        <f>Costs!#REF!</f>
        <v>#REF!</v>
      </c>
      <c r="K11" s="66"/>
      <c r="L11" s="66"/>
      <c r="M11" s="66"/>
      <c r="N11" s="44"/>
      <c r="O11" s="67">
        <v>184683.6</v>
      </c>
      <c r="P11" s="53"/>
      <c r="Q11" s="62">
        <f>E11-O11</f>
        <v>81476.399999999994</v>
      </c>
      <c r="R11" s="53"/>
      <c r="S11" s="55">
        <f>E11/O11</f>
        <v>1.4411674886129575</v>
      </c>
    </row>
    <row r="12" spans="1:19" s="6" customFormat="1" ht="13.8" x14ac:dyDescent="0.25">
      <c r="A12" s="45"/>
      <c r="B12" s="68"/>
      <c r="C12" s="68"/>
      <c r="D12" s="68"/>
      <c r="E12" s="69" t="s">
        <v>12</v>
      </c>
      <c r="F12" s="70" t="s">
        <v>12</v>
      </c>
      <c r="G12" s="70" t="str">
        <f>F12</f>
        <v xml:space="preserve"> </v>
      </c>
      <c r="H12" s="70"/>
      <c r="I12" s="70"/>
      <c r="J12" s="70"/>
      <c r="K12" s="70"/>
      <c r="L12" s="70"/>
      <c r="M12" s="70"/>
      <c r="N12" s="44"/>
      <c r="O12" s="62" t="s">
        <v>12</v>
      </c>
      <c r="P12" s="53"/>
      <c r="Q12" s="65"/>
      <c r="R12" s="53"/>
      <c r="S12" s="55"/>
    </row>
    <row r="13" spans="1:19" s="6" customFormat="1" ht="13.8" x14ac:dyDescent="0.25">
      <c r="A13" s="45"/>
      <c r="B13" s="58" t="s">
        <v>188</v>
      </c>
      <c r="C13" s="59">
        <f t="shared" ref="C13:J13" si="1">C9-C11</f>
        <v>155513</v>
      </c>
      <c r="D13" s="59" t="e">
        <f t="shared" si="1"/>
        <v>#REF!</v>
      </c>
      <c r="E13" s="59">
        <f t="shared" si="1"/>
        <v>399974</v>
      </c>
      <c r="F13" s="59">
        <f t="shared" si="1"/>
        <v>572719</v>
      </c>
      <c r="G13" s="59">
        <f t="shared" si="1"/>
        <v>707646.65788973984</v>
      </c>
      <c r="H13" s="59">
        <f t="shared" si="1"/>
        <v>1027051.8907441529</v>
      </c>
      <c r="I13" s="59">
        <f t="shared" si="1"/>
        <v>1235045.199833445</v>
      </c>
      <c r="J13" s="59" t="e">
        <f t="shared" si="1"/>
        <v>#REF!</v>
      </c>
      <c r="K13" s="59"/>
      <c r="L13" s="59"/>
      <c r="M13" s="59"/>
      <c r="N13" s="44"/>
      <c r="O13" s="60">
        <v>490755.15</v>
      </c>
      <c r="P13" s="53"/>
      <c r="Q13" s="62">
        <f>E13-O13</f>
        <v>-90781.150000000023</v>
      </c>
      <c r="R13" s="53"/>
      <c r="S13" s="55">
        <f>E13/O13</f>
        <v>0.81501742773356523</v>
      </c>
    </row>
    <row r="14" spans="1:19" s="6" customFormat="1" ht="13.8" x14ac:dyDescent="0.25">
      <c r="A14" s="45"/>
      <c r="B14" s="45"/>
      <c r="C14" s="45"/>
      <c r="D14" s="45"/>
      <c r="E14" s="63" t="s">
        <v>12</v>
      </c>
      <c r="F14" s="63"/>
      <c r="G14" s="63"/>
      <c r="H14" s="63"/>
      <c r="I14" s="63"/>
      <c r="J14" s="63"/>
      <c r="K14" s="63"/>
      <c r="L14" s="63"/>
      <c r="M14" s="63"/>
      <c r="N14" s="44"/>
      <c r="O14" s="64" t="s">
        <v>12</v>
      </c>
      <c r="P14" s="53"/>
      <c r="Q14" s="65"/>
      <c r="R14" s="53"/>
      <c r="S14" s="55"/>
    </row>
    <row r="15" spans="1:19" s="6" customFormat="1" ht="13.8" x14ac:dyDescent="0.25">
      <c r="A15" s="45"/>
      <c r="B15" s="58" t="s">
        <v>189</v>
      </c>
      <c r="C15" s="58">
        <f>140895-C26</f>
        <v>102920</v>
      </c>
      <c r="D15" s="59">
        <f>170799-D26</f>
        <v>139066.51</v>
      </c>
      <c r="E15" s="59">
        <v>234168</v>
      </c>
      <c r="F15" s="59" t="e">
        <f>SUM(F16:F21)</f>
        <v>#REF!</v>
      </c>
      <c r="G15" s="59" t="e">
        <f>SUM(G16:G22)</f>
        <v>#REF!</v>
      </c>
      <c r="H15" s="59" t="e">
        <f>SUM(H16:H22)</f>
        <v>#REF!</v>
      </c>
      <c r="I15" s="59" t="e">
        <f>SUM(I16:I22)</f>
        <v>#REF!</v>
      </c>
      <c r="J15" s="59" t="e">
        <f>SUM(J16:J22)</f>
        <v>#REF!</v>
      </c>
      <c r="K15" s="59"/>
      <c r="L15" s="59"/>
      <c r="M15" s="59"/>
      <c r="N15" s="44"/>
      <c r="O15" s="60">
        <v>241982.18499999997</v>
      </c>
      <c r="P15" s="61">
        <f>E15/D15</f>
        <v>1.6838561635004716</v>
      </c>
      <c r="Q15" s="62">
        <f t="shared" ref="Q15:Q21" si="2">E15-O15</f>
        <v>-7814.1849999999686</v>
      </c>
      <c r="R15" s="61" t="e">
        <f>G15/F15</f>
        <v>#REF!</v>
      </c>
      <c r="S15" s="55">
        <f t="shared" ref="S15:S20" si="3">E15/O15</f>
        <v>0.96770760211128781</v>
      </c>
    </row>
    <row r="16" spans="1:19" s="6" customFormat="1" ht="13.8" outlineLevel="1" x14ac:dyDescent="0.25">
      <c r="A16" s="45"/>
      <c r="B16" s="68" t="s">
        <v>2</v>
      </c>
      <c r="C16" s="68"/>
      <c r="D16" s="45">
        <v>57543</v>
      </c>
      <c r="E16" s="70">
        <v>78252</v>
      </c>
      <c r="F16" s="70">
        <f>108373+11627</f>
        <v>120000</v>
      </c>
      <c r="G16" s="70">
        <f>Personal!G27</f>
        <v>215841.6</v>
      </c>
      <c r="H16" s="70">
        <f>G16*1.05</f>
        <v>226633.68000000002</v>
      </c>
      <c r="I16" s="70">
        <f>H16*1.05</f>
        <v>237965.36400000003</v>
      </c>
      <c r="J16" s="70">
        <f>I16*1.05</f>
        <v>249863.63220000005</v>
      </c>
      <c r="K16" s="70"/>
      <c r="L16" s="70"/>
      <c r="M16" s="70"/>
      <c r="N16" s="44"/>
      <c r="O16" s="65">
        <v>140034.96</v>
      </c>
      <c r="P16" s="41"/>
      <c r="Q16" s="62">
        <f t="shared" si="2"/>
        <v>-61782.959999999992</v>
      </c>
      <c r="R16" s="41"/>
      <c r="S16" s="55">
        <f t="shared" si="3"/>
        <v>0.55880331597195443</v>
      </c>
    </row>
    <row r="17" spans="1:19" s="6" customFormat="1" ht="13.8" outlineLevel="1" x14ac:dyDescent="0.25">
      <c r="A17" s="45"/>
      <c r="B17" s="68" t="s">
        <v>190</v>
      </c>
      <c r="C17" s="68"/>
      <c r="D17" s="68">
        <v>9291</v>
      </c>
      <c r="E17" s="71">
        <f>E9*0.015</f>
        <v>9992.01</v>
      </c>
      <c r="F17" s="71">
        <f>F9*0.013</f>
        <v>13238.172999999999</v>
      </c>
      <c r="G17" s="71">
        <f>G9*0.013</f>
        <v>18944.548999999999</v>
      </c>
      <c r="H17" s="71">
        <f>H9*0.013</f>
        <v>24296.371700255637</v>
      </c>
      <c r="I17" s="71">
        <f>I9*0.013</f>
        <v>28239.811328436088</v>
      </c>
      <c r="J17" s="71">
        <f>J9*0.013</f>
        <v>32498.726126870977</v>
      </c>
      <c r="K17" s="71"/>
      <c r="L17" s="71"/>
      <c r="M17" s="71"/>
      <c r="N17" s="44"/>
      <c r="O17" s="72">
        <v>16210.53</v>
      </c>
      <c r="P17" s="73"/>
      <c r="Q17" s="62">
        <f t="shared" si="2"/>
        <v>-6218.52</v>
      </c>
      <c r="R17" s="41"/>
      <c r="S17" s="55">
        <f t="shared" si="3"/>
        <v>0.61639008718407107</v>
      </c>
    </row>
    <row r="18" spans="1:19" s="6" customFormat="1" ht="13.8" outlineLevel="1" x14ac:dyDescent="0.25">
      <c r="A18" s="45"/>
      <c r="B18" s="68" t="s">
        <v>191</v>
      </c>
      <c r="C18" s="68"/>
      <c r="D18" s="68">
        <v>11275</v>
      </c>
      <c r="E18" s="71">
        <v>14175</v>
      </c>
      <c r="F18" s="71">
        <v>17875</v>
      </c>
      <c r="G18" s="71">
        <f>F18</f>
        <v>17875</v>
      </c>
      <c r="H18" s="71">
        <f>G18</f>
        <v>17875</v>
      </c>
      <c r="I18" s="71">
        <f>H18</f>
        <v>17875</v>
      </c>
      <c r="J18" s="71">
        <f>I18</f>
        <v>17875</v>
      </c>
      <c r="K18" s="71"/>
      <c r="L18" s="71"/>
      <c r="M18" s="71"/>
      <c r="N18" s="44"/>
      <c r="O18" s="72">
        <v>11275</v>
      </c>
      <c r="P18" s="41"/>
      <c r="Q18" s="62">
        <f t="shared" si="2"/>
        <v>2900</v>
      </c>
      <c r="R18" s="41"/>
      <c r="S18" s="55">
        <f t="shared" si="3"/>
        <v>1.2572062084257207</v>
      </c>
    </row>
    <row r="19" spans="1:19" s="6" customFormat="1" ht="13.8" outlineLevel="1" x14ac:dyDescent="0.25">
      <c r="A19" s="45"/>
      <c r="B19" s="68" t="s">
        <v>192</v>
      </c>
      <c r="C19" s="74"/>
      <c r="D19" s="74" t="e">
        <f>Expenses!#REF!</f>
        <v>#REF!</v>
      </c>
      <c r="E19" s="74">
        <v>114464</v>
      </c>
      <c r="F19" s="74" t="e">
        <f>Expenses!#REF!</f>
        <v>#REF!</v>
      </c>
      <c r="G19" s="74" t="e">
        <f>F19*1.12</f>
        <v>#REF!</v>
      </c>
      <c r="H19" s="74" t="e">
        <f>G19*1.12</f>
        <v>#REF!</v>
      </c>
      <c r="I19" s="74" t="e">
        <f>H19*1.12</f>
        <v>#REF!</v>
      </c>
      <c r="J19" s="74" t="e">
        <f>I19*1.12</f>
        <v>#REF!</v>
      </c>
      <c r="K19" s="71"/>
      <c r="L19" s="71"/>
      <c r="M19" s="71"/>
      <c r="N19" s="44"/>
      <c r="O19" s="72">
        <v>71716.943999999989</v>
      </c>
      <c r="P19" s="41"/>
      <c r="Q19" s="62">
        <f t="shared" si="2"/>
        <v>42747.056000000011</v>
      </c>
      <c r="R19" s="41"/>
      <c r="S19" s="55">
        <f t="shared" si="3"/>
        <v>1.5960523917472003</v>
      </c>
    </row>
    <row r="20" spans="1:19" s="6" customFormat="1" ht="13.8" outlineLevel="1" x14ac:dyDescent="0.25">
      <c r="A20" s="45"/>
      <c r="B20" s="68" t="s">
        <v>193</v>
      </c>
      <c r="C20" s="68"/>
      <c r="D20" s="68" t="e">
        <f>Expenses!#REF!</f>
        <v>#REF!</v>
      </c>
      <c r="E20" s="71" t="e">
        <f>D20*1.15</f>
        <v>#REF!</v>
      </c>
      <c r="F20" s="71" t="e">
        <f>Expenses!#REF!</f>
        <v>#REF!</v>
      </c>
      <c r="G20" s="71">
        <v>50000</v>
      </c>
      <c r="H20" s="71">
        <f>G20*0.75</f>
        <v>37500</v>
      </c>
      <c r="I20" s="71">
        <f>H20*0.75</f>
        <v>28125</v>
      </c>
      <c r="J20" s="71">
        <f>I20</f>
        <v>28125</v>
      </c>
      <c r="K20" s="71"/>
      <c r="L20" s="71"/>
      <c r="M20" s="71"/>
      <c r="N20" s="44"/>
      <c r="O20" s="72">
        <v>2744.7509999999997</v>
      </c>
      <c r="P20" s="41"/>
      <c r="Q20" s="62" t="e">
        <f t="shared" si="2"/>
        <v>#REF!</v>
      </c>
      <c r="R20" s="41"/>
      <c r="S20" s="55" t="e">
        <f t="shared" si="3"/>
        <v>#REF!</v>
      </c>
    </row>
    <row r="21" spans="1:19" s="6" customFormat="1" ht="13.8" outlineLevel="1" x14ac:dyDescent="0.25">
      <c r="A21" s="45"/>
      <c r="B21" s="68" t="s">
        <v>194</v>
      </c>
      <c r="C21" s="68"/>
      <c r="D21" s="68">
        <v>0</v>
      </c>
      <c r="E21" s="71" t="e">
        <f>Expenses!#REF!</f>
        <v>#REF!</v>
      </c>
      <c r="F21" s="71">
        <f>Expenses!B36</f>
        <v>678117.82000000007</v>
      </c>
      <c r="G21" s="71">
        <f>F21*1.1</f>
        <v>745929.60200000019</v>
      </c>
      <c r="H21" s="71">
        <f>G21*1.1</f>
        <v>820522.56220000028</v>
      </c>
      <c r="I21" s="71">
        <f>H21*1.1</f>
        <v>902574.81842000037</v>
      </c>
      <c r="J21" s="71">
        <f>I21*1.1</f>
        <v>992832.30026200053</v>
      </c>
      <c r="K21" s="71"/>
      <c r="L21" s="71"/>
      <c r="M21" s="71"/>
      <c r="N21" s="44"/>
      <c r="O21" s="72">
        <v>0</v>
      </c>
      <c r="P21" s="41"/>
      <c r="Q21" s="62" t="e">
        <f t="shared" si="2"/>
        <v>#REF!</v>
      </c>
      <c r="R21" s="41"/>
      <c r="S21" s="55"/>
    </row>
    <row r="22" spans="1:19" s="6" customFormat="1" ht="13.8" outlineLevel="1" x14ac:dyDescent="0.25">
      <c r="A22" s="45"/>
      <c r="B22" s="68" t="s">
        <v>69</v>
      </c>
      <c r="C22" s="68"/>
      <c r="D22" s="68"/>
      <c r="E22" s="75"/>
      <c r="F22" s="70"/>
      <c r="G22" s="70">
        <f>G9*0.015</f>
        <v>21859.094999999998</v>
      </c>
      <c r="H22" s="70">
        <f>H9*0.015</f>
        <v>28034.275038756507</v>
      </c>
      <c r="I22" s="70">
        <f>I9*0.015</f>
        <v>32584.397686657023</v>
      </c>
      <c r="J22" s="70">
        <f>J9*0.015</f>
        <v>37498.530146389588</v>
      </c>
      <c r="K22" s="70"/>
      <c r="L22" s="70"/>
      <c r="M22" s="70"/>
      <c r="N22" s="44"/>
      <c r="O22" s="76"/>
      <c r="P22" s="41"/>
      <c r="Q22" s="77"/>
      <c r="R22" s="41"/>
      <c r="S22" s="55"/>
    </row>
    <row r="23" spans="1:19" s="6" customFormat="1" ht="13.8" x14ac:dyDescent="0.25">
      <c r="A23" s="45"/>
      <c r="B23" s="45"/>
      <c r="C23" s="45"/>
      <c r="D23" s="45"/>
      <c r="E23" s="45"/>
      <c r="F23" s="78"/>
      <c r="G23" s="45"/>
      <c r="H23" s="45"/>
      <c r="I23" s="45"/>
      <c r="J23" s="45"/>
      <c r="K23" s="45"/>
      <c r="L23" s="45"/>
      <c r="M23" s="45"/>
      <c r="N23" s="44"/>
      <c r="O23" s="53"/>
      <c r="P23" s="41"/>
      <c r="Q23" s="77"/>
      <c r="R23" s="41"/>
      <c r="S23" s="55"/>
    </row>
    <row r="24" spans="1:19" s="6" customFormat="1" ht="13.8" x14ac:dyDescent="0.25">
      <c r="A24" s="45"/>
      <c r="B24" s="58" t="s">
        <v>16</v>
      </c>
      <c r="C24" s="79">
        <f t="shared" ref="C24:J24" si="4">C13-C15</f>
        <v>52593</v>
      </c>
      <c r="D24" s="79" t="e">
        <f t="shared" si="4"/>
        <v>#REF!</v>
      </c>
      <c r="E24" s="79">
        <f t="shared" si="4"/>
        <v>165806</v>
      </c>
      <c r="F24" s="79" t="e">
        <f t="shared" si="4"/>
        <v>#REF!</v>
      </c>
      <c r="G24" s="79" t="e">
        <f t="shared" si="4"/>
        <v>#REF!</v>
      </c>
      <c r="H24" s="79" t="e">
        <f t="shared" si="4"/>
        <v>#REF!</v>
      </c>
      <c r="I24" s="79" t="e">
        <f t="shared" si="4"/>
        <v>#REF!</v>
      </c>
      <c r="J24" s="79" t="e">
        <f t="shared" si="4"/>
        <v>#REF!</v>
      </c>
      <c r="K24" s="79"/>
      <c r="L24" s="79"/>
      <c r="M24" s="79"/>
      <c r="N24" s="44"/>
      <c r="O24" s="80">
        <v>248772.96500000005</v>
      </c>
      <c r="P24" s="41" t="s">
        <v>12</v>
      </c>
      <c r="Q24" s="62">
        <f>E24-O24</f>
        <v>-82966.965000000055</v>
      </c>
      <c r="R24" s="41"/>
      <c r="S24" s="55">
        <f>E24/O24</f>
        <v>0.66649525200618143</v>
      </c>
    </row>
    <row r="25" spans="1:19" s="6" customFormat="1" ht="13.8" x14ac:dyDescent="0.25">
      <c r="A25" s="45"/>
      <c r="B25" s="46"/>
      <c r="C25" s="58"/>
      <c r="D25" s="58"/>
      <c r="E25" s="51" t="s">
        <v>12</v>
      </c>
      <c r="F25" s="51" t="str">
        <f>E25</f>
        <v xml:space="preserve"> </v>
      </c>
      <c r="G25" s="51" t="str">
        <f>F25</f>
        <v xml:space="preserve"> </v>
      </c>
      <c r="H25" s="51"/>
      <c r="I25" s="51"/>
      <c r="J25" s="51"/>
      <c r="K25" s="51"/>
      <c r="L25" s="51"/>
      <c r="M25" s="51"/>
      <c r="N25" s="44"/>
      <c r="O25" s="52" t="s">
        <v>12</v>
      </c>
      <c r="P25" s="41"/>
      <c r="Q25" s="77"/>
      <c r="R25" s="41"/>
      <c r="S25" s="55"/>
    </row>
    <row r="26" spans="1:19" s="6" customFormat="1" ht="13.8" x14ac:dyDescent="0.25">
      <c r="A26" s="45"/>
      <c r="B26" s="58" t="s">
        <v>195</v>
      </c>
      <c r="C26" s="79">
        <f t="shared" ref="C26:J26" si="5">SUM(C27:C36)</f>
        <v>37975</v>
      </c>
      <c r="D26" s="79">
        <f t="shared" si="5"/>
        <v>31732.49</v>
      </c>
      <c r="E26" s="79">
        <f t="shared" si="5"/>
        <v>53629.96</v>
      </c>
      <c r="F26" s="79" t="e">
        <f t="shared" si="5"/>
        <v>#REF!</v>
      </c>
      <c r="G26" s="79" t="e">
        <f t="shared" si="5"/>
        <v>#REF!</v>
      </c>
      <c r="H26" s="79" t="e">
        <f t="shared" si="5"/>
        <v>#REF!</v>
      </c>
      <c r="I26" s="79" t="e">
        <f t="shared" si="5"/>
        <v>#REF!</v>
      </c>
      <c r="J26" s="79" t="e">
        <f t="shared" si="5"/>
        <v>#REF!</v>
      </c>
      <c r="K26" s="79"/>
      <c r="L26" s="79"/>
      <c r="M26" s="79"/>
      <c r="N26" s="44"/>
      <c r="O26" s="80">
        <v>19200</v>
      </c>
      <c r="P26" s="41"/>
      <c r="Q26" s="62">
        <f>E26-O26</f>
        <v>34429.96</v>
      </c>
      <c r="R26" s="41"/>
      <c r="S26" s="55">
        <f>E26/O26</f>
        <v>2.7932270833333335</v>
      </c>
    </row>
    <row r="27" spans="1:19" s="6" customFormat="1" ht="13.8" outlineLevel="1" x14ac:dyDescent="0.25">
      <c r="A27" s="45"/>
      <c r="B27" s="81" t="s">
        <v>196</v>
      </c>
      <c r="C27" s="81">
        <v>13375</v>
      </c>
      <c r="D27" s="79">
        <v>6583</v>
      </c>
      <c r="E27" s="79">
        <f>+LOANS!E17</f>
        <v>52403.4</v>
      </c>
      <c r="F27" s="79">
        <f>+LOANS!E18</f>
        <v>48696.79531168392</v>
      </c>
      <c r="G27" s="79">
        <f>+LOANS!E19</f>
        <v>44712.706783191112</v>
      </c>
      <c r="H27" s="45">
        <v>0</v>
      </c>
      <c r="I27" s="45">
        <v>0</v>
      </c>
      <c r="J27" s="45">
        <v>0</v>
      </c>
      <c r="K27" s="79"/>
      <c r="L27" s="79"/>
      <c r="M27" s="79"/>
      <c r="N27" s="44"/>
      <c r="O27" s="80">
        <v>4200</v>
      </c>
      <c r="P27" s="41"/>
      <c r="Q27" s="42"/>
      <c r="R27" s="41"/>
      <c r="S27" s="55">
        <f>E27/O27</f>
        <v>12.477</v>
      </c>
    </row>
    <row r="28" spans="1:19" s="6" customFormat="1" ht="13.8" outlineLevel="1" x14ac:dyDescent="0.25">
      <c r="A28" s="45"/>
      <c r="B28" s="81" t="s">
        <v>197</v>
      </c>
      <c r="C28" s="81"/>
      <c r="D28" s="79"/>
      <c r="E28" s="45"/>
      <c r="F28" s="79" t="e">
        <f>LOANS!#REF!</f>
        <v>#REF!</v>
      </c>
      <c r="G28" s="79" t="e">
        <f>LOANS!#REF!</f>
        <v>#REF!</v>
      </c>
      <c r="H28" s="79" t="e">
        <f>LOANS!#REF!</f>
        <v>#REF!</v>
      </c>
      <c r="I28" s="45">
        <v>0</v>
      </c>
      <c r="J28" s="45">
        <v>0</v>
      </c>
      <c r="K28" s="79"/>
      <c r="L28" s="79"/>
      <c r="M28" s="79"/>
      <c r="N28" s="79"/>
      <c r="O28" s="80"/>
      <c r="P28" s="41"/>
      <c r="Q28" s="42"/>
      <c r="R28" s="41"/>
      <c r="S28" s="55"/>
    </row>
    <row r="29" spans="1:19" s="6" customFormat="1" ht="13.8" outlineLevel="1" x14ac:dyDescent="0.25">
      <c r="A29" s="45"/>
      <c r="B29" s="81" t="s">
        <v>59</v>
      </c>
      <c r="C29" s="81"/>
      <c r="D29" s="79"/>
      <c r="E29" s="45">
        <f>LEASING!E15</f>
        <v>1226.56</v>
      </c>
      <c r="F29" s="45">
        <f>LEASING!E16</f>
        <v>848.73841301133552</v>
      </c>
      <c r="G29" s="45">
        <f>LEASING!E17</f>
        <v>440.69109906357789</v>
      </c>
      <c r="H29" s="45">
        <f>LEASING!E18</f>
        <v>0</v>
      </c>
      <c r="I29" s="45">
        <f>LEASING!E19</f>
        <v>0</v>
      </c>
      <c r="J29" s="45">
        <f>I29</f>
        <v>0</v>
      </c>
      <c r="K29" s="45"/>
      <c r="L29" s="45"/>
      <c r="M29" s="45"/>
      <c r="N29" s="79"/>
      <c r="O29" s="80"/>
      <c r="P29" s="41"/>
      <c r="Q29" s="42"/>
      <c r="R29" s="41"/>
      <c r="S29" s="55"/>
    </row>
    <row r="30" spans="1:19" s="6" customFormat="1" ht="13.8" outlineLevel="1" x14ac:dyDescent="0.25">
      <c r="A30" s="45"/>
      <c r="B30" s="81" t="s">
        <v>60</v>
      </c>
      <c r="C30" s="81"/>
      <c r="D30" s="79"/>
      <c r="E30" s="79"/>
      <c r="F30" s="79">
        <f>LEASING!E37</f>
        <v>920.12200000000007</v>
      </c>
      <c r="G30" s="79">
        <f>LEASING!E38</f>
        <v>716.53029396201509</v>
      </c>
      <c r="H30" s="79">
        <f>LEASING!E39</f>
        <v>496.24406802891559</v>
      </c>
      <c r="I30" s="79">
        <f>LEASING!E40</f>
        <v>257.89437156930188</v>
      </c>
      <c r="J30" s="79"/>
      <c r="K30" s="79"/>
      <c r="L30" s="79"/>
      <c r="M30" s="79"/>
      <c r="N30" s="79"/>
      <c r="O30" s="80"/>
      <c r="P30" s="41"/>
      <c r="Q30" s="42"/>
      <c r="R30" s="41"/>
      <c r="S30" s="55"/>
    </row>
    <row r="31" spans="1:19" s="6" customFormat="1" ht="13.8" outlineLevel="1" x14ac:dyDescent="0.25">
      <c r="A31" s="45"/>
      <c r="B31" s="81" t="s">
        <v>65</v>
      </c>
      <c r="C31" s="81"/>
      <c r="D31" s="79"/>
      <c r="E31" s="79"/>
      <c r="F31" s="79">
        <f>LEASING!E64</f>
        <v>1593.3420000000001</v>
      </c>
      <c r="G31" s="79">
        <f>LEASING!E65</f>
        <v>1103.4934914883647</v>
      </c>
      <c r="H31" s="79">
        <f>LEASING!E66</f>
        <v>573.47740527877534</v>
      </c>
      <c r="I31" s="45">
        <v>0</v>
      </c>
      <c r="J31" s="79"/>
      <c r="K31" s="79"/>
      <c r="L31" s="79"/>
      <c r="M31" s="79"/>
      <c r="N31" s="79"/>
      <c r="O31" s="80"/>
      <c r="P31" s="41"/>
      <c r="Q31" s="42"/>
      <c r="R31" s="41"/>
      <c r="S31" s="55"/>
    </row>
    <row r="32" spans="1:19" s="6" customFormat="1" ht="13.8" outlineLevel="1" x14ac:dyDescent="0.25">
      <c r="A32" s="45"/>
      <c r="B32" s="81" t="s">
        <v>66</v>
      </c>
      <c r="C32" s="81"/>
      <c r="D32" s="79"/>
      <c r="E32" s="79"/>
      <c r="F32" s="79">
        <f>LEASING!E86</f>
        <v>795.92499999999995</v>
      </c>
      <c r="G32" s="79">
        <f>LEASING!E87</f>
        <v>550.51462192448855</v>
      </c>
      <c r="H32" s="79">
        <f>LEASING!E88</f>
        <v>285.71682398101154</v>
      </c>
      <c r="I32" s="45">
        <v>0</v>
      </c>
      <c r="J32" s="79"/>
      <c r="K32" s="79"/>
      <c r="L32" s="79"/>
      <c r="M32" s="79"/>
      <c r="N32" s="79"/>
      <c r="O32" s="80"/>
      <c r="P32" s="41"/>
      <c r="Q32" s="42"/>
      <c r="R32" s="41"/>
      <c r="S32" s="55"/>
    </row>
    <row r="33" spans="1:19" s="6" customFormat="1" ht="13.8" outlineLevel="1" x14ac:dyDescent="0.25">
      <c r="A33" s="45"/>
      <c r="B33" s="81" t="s">
        <v>74</v>
      </c>
      <c r="C33" s="81"/>
      <c r="D33" s="79"/>
      <c r="E33" s="79"/>
      <c r="F33" s="79"/>
      <c r="G33" s="79">
        <f>LEASING!E112</f>
        <v>3888.32</v>
      </c>
      <c r="H33" s="79">
        <f>LEASING!E113</f>
        <v>3030.2512211913008</v>
      </c>
      <c r="I33" s="79">
        <f>LEASING!E114</f>
        <v>2100.2762787184329</v>
      </c>
      <c r="J33" s="79">
        <f>LEASING!E115</f>
        <v>1092.3694360663387</v>
      </c>
      <c r="K33" s="79"/>
      <c r="L33" s="79"/>
      <c r="M33" s="79"/>
      <c r="N33" s="79"/>
      <c r="O33" s="80"/>
      <c r="P33" s="41"/>
      <c r="Q33" s="42"/>
      <c r="R33" s="41"/>
      <c r="S33" s="55"/>
    </row>
    <row r="34" spans="1:19" s="6" customFormat="1" ht="13.8" outlineLevel="1" x14ac:dyDescent="0.25">
      <c r="A34" s="45"/>
      <c r="B34" s="81" t="s">
        <v>75</v>
      </c>
      <c r="C34" s="81"/>
      <c r="D34" s="79"/>
      <c r="E34" s="79"/>
      <c r="F34" s="79">
        <f>LEASING!E134</f>
        <v>6767</v>
      </c>
      <c r="G34" s="79">
        <f>LEASING!E135</f>
        <v>5892.1578147130222</v>
      </c>
      <c r="H34" s="79">
        <f>LEASING!E136</f>
        <v>4928.9565687120594</v>
      </c>
      <c r="I34" s="79">
        <f>LEASING!E137</f>
        <v>3868.4719968650002</v>
      </c>
      <c r="J34" s="79">
        <f>LEASING!E138</f>
        <v>2700.8784832613878</v>
      </c>
      <c r="K34" s="79"/>
      <c r="L34" s="79"/>
      <c r="M34" s="79"/>
      <c r="N34" s="79"/>
      <c r="O34" s="80"/>
      <c r="P34" s="41"/>
      <c r="Q34" s="42"/>
      <c r="R34" s="41"/>
      <c r="S34" s="55"/>
    </row>
    <row r="35" spans="1:19" s="6" customFormat="1" ht="13.8" outlineLevel="1" x14ac:dyDescent="0.25">
      <c r="A35" s="45"/>
      <c r="B35" s="81" t="s">
        <v>198</v>
      </c>
      <c r="C35" s="81">
        <v>24600</v>
      </c>
      <c r="D35" s="79">
        <v>25149.49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K35" s="81"/>
      <c r="L35" s="81"/>
      <c r="M35" s="81"/>
      <c r="N35" s="44"/>
      <c r="O35" s="80">
        <v>15000</v>
      </c>
      <c r="P35" s="41"/>
      <c r="Q35" s="42"/>
      <c r="R35" s="41"/>
      <c r="S35" s="55">
        <f>E35/O35</f>
        <v>0</v>
      </c>
    </row>
    <row r="36" spans="1:19" s="6" customFormat="1" ht="13.8" outlineLevel="1" x14ac:dyDescent="0.25">
      <c r="A36" s="45"/>
      <c r="B36" s="81" t="s">
        <v>199</v>
      </c>
      <c r="C36" s="81"/>
      <c r="D36" s="81">
        <v>0</v>
      </c>
      <c r="E36" s="81">
        <v>0</v>
      </c>
      <c r="F36" s="81">
        <v>0</v>
      </c>
      <c r="G36" s="46" t="e">
        <f>LOANS!#REF!</f>
        <v>#REF!</v>
      </c>
      <c r="H36" s="46" t="e">
        <f>LOANS!#REF!</f>
        <v>#REF!</v>
      </c>
      <c r="I36" s="46" t="e">
        <f>LOANS!#REF!</f>
        <v>#REF!</v>
      </c>
      <c r="J36" s="46" t="e">
        <f>LOANS!#REF!</f>
        <v>#REF!</v>
      </c>
      <c r="K36" s="81"/>
      <c r="L36" s="81"/>
      <c r="M36" s="81"/>
      <c r="N36" s="44"/>
      <c r="O36" s="80" t="s">
        <v>12</v>
      </c>
      <c r="P36" s="41"/>
      <c r="Q36" s="42"/>
      <c r="R36" s="41"/>
      <c r="S36" s="55"/>
    </row>
    <row r="37" spans="1:19" s="6" customFormat="1" ht="13.8" x14ac:dyDescent="0.25">
      <c r="A37" s="45"/>
      <c r="B37" s="58"/>
      <c r="C37" s="58"/>
      <c r="D37" s="58"/>
      <c r="E37" s="79"/>
      <c r="F37" s="79"/>
      <c r="G37" s="79"/>
      <c r="H37" s="79"/>
      <c r="I37" s="79"/>
      <c r="J37" s="79"/>
      <c r="K37" s="79"/>
      <c r="L37" s="79"/>
      <c r="M37" s="79"/>
      <c r="N37" s="44"/>
      <c r="O37" s="80"/>
      <c r="P37" s="41"/>
      <c r="Q37" s="42"/>
      <c r="R37" s="41"/>
      <c r="S37" s="55"/>
    </row>
    <row r="38" spans="1:19" s="6" customFormat="1" ht="13.8" x14ac:dyDescent="0.25">
      <c r="A38" s="45"/>
      <c r="B38" s="58" t="s">
        <v>200</v>
      </c>
      <c r="C38" s="79">
        <f t="shared" ref="C38:J38" si="6">C24-C26</f>
        <v>14618</v>
      </c>
      <c r="D38" s="79" t="e">
        <f t="shared" si="6"/>
        <v>#REF!</v>
      </c>
      <c r="E38" s="79">
        <f t="shared" si="6"/>
        <v>112176.04000000001</v>
      </c>
      <c r="F38" s="79" t="e">
        <f t="shared" si="6"/>
        <v>#REF!</v>
      </c>
      <c r="G38" s="79" t="e">
        <f t="shared" si="6"/>
        <v>#REF!</v>
      </c>
      <c r="H38" s="79" t="e">
        <f t="shared" si="6"/>
        <v>#REF!</v>
      </c>
      <c r="I38" s="79" t="e">
        <f t="shared" si="6"/>
        <v>#REF!</v>
      </c>
      <c r="J38" s="79" t="e">
        <f t="shared" si="6"/>
        <v>#REF!</v>
      </c>
      <c r="K38" s="79"/>
      <c r="L38" s="79"/>
      <c r="M38" s="79"/>
      <c r="N38" s="44"/>
      <c r="O38" s="80">
        <v>229572.96500000005</v>
      </c>
      <c r="P38" s="41"/>
      <c r="Q38" s="57">
        <f>E38-O38</f>
        <v>-117396.92500000005</v>
      </c>
      <c r="R38" s="41"/>
      <c r="S38" s="55">
        <f>E38/O38</f>
        <v>0.4886291380171876</v>
      </c>
    </row>
    <row r="39" spans="1:19" s="6" customFormat="1" ht="13.8" x14ac:dyDescent="0.25">
      <c r="A39" s="45"/>
      <c r="B39" s="58"/>
      <c r="C39" s="58"/>
      <c r="D39" s="58"/>
      <c r="E39" s="79"/>
      <c r="F39" s="79"/>
      <c r="G39" s="79"/>
      <c r="H39" s="79"/>
      <c r="I39" s="79"/>
      <c r="J39" s="79"/>
      <c r="K39" s="79"/>
      <c r="L39" s="79"/>
      <c r="M39" s="79"/>
      <c r="N39" s="44"/>
      <c r="O39" s="80"/>
      <c r="P39" s="41"/>
      <c r="Q39" s="42"/>
      <c r="R39" s="41"/>
      <c r="S39" s="55"/>
    </row>
    <row r="40" spans="1:19" s="6" customFormat="1" ht="13.8" x14ac:dyDescent="0.25">
      <c r="A40" s="45"/>
      <c r="B40" s="58" t="s">
        <v>201</v>
      </c>
      <c r="C40" s="79">
        <v>4385</v>
      </c>
      <c r="D40" s="79" t="e">
        <f t="shared" ref="D40:J40" si="7">IF(D9&gt;0,D9*0.014,0)</f>
        <v>#REF!</v>
      </c>
      <c r="E40" s="79">
        <f t="shared" si="7"/>
        <v>9325.8760000000002</v>
      </c>
      <c r="F40" s="79">
        <f t="shared" si="7"/>
        <v>14256.494000000001</v>
      </c>
      <c r="G40" s="79">
        <f t="shared" si="7"/>
        <v>20401.822</v>
      </c>
      <c r="H40" s="79">
        <f t="shared" si="7"/>
        <v>26165.323369506074</v>
      </c>
      <c r="I40" s="79">
        <f t="shared" si="7"/>
        <v>30412.104507546559</v>
      </c>
      <c r="J40" s="79">
        <f t="shared" si="7"/>
        <v>34998.628136630286</v>
      </c>
      <c r="K40" s="79"/>
      <c r="L40" s="79"/>
      <c r="M40" s="79"/>
      <c r="N40" s="44"/>
      <c r="O40" s="80">
        <v>9456.1424999999999</v>
      </c>
      <c r="P40" s="41"/>
      <c r="Q40" s="57">
        <f>E40-O40</f>
        <v>-130.26649999999972</v>
      </c>
      <c r="R40" s="41"/>
      <c r="S40" s="55">
        <f>E40/O40</f>
        <v>0.98622413949451382</v>
      </c>
    </row>
    <row r="41" spans="1:19" s="10" customFormat="1" ht="13.8" x14ac:dyDescent="0.25">
      <c r="A41" s="53"/>
      <c r="B41" s="82" t="s">
        <v>202</v>
      </c>
      <c r="C41" s="82"/>
      <c r="D41" s="82"/>
      <c r="E41" s="80"/>
      <c r="F41" s="80" t="e">
        <f>IF(F38&gt;0,F38*0.3)</f>
        <v>#REF!</v>
      </c>
      <c r="G41" s="80" t="e">
        <f>IF(G38&gt;0,G38*0.3,0)</f>
        <v>#REF!</v>
      </c>
      <c r="H41" s="80" t="e">
        <f>IF(H38&gt;0,H38*0.3,0)</f>
        <v>#REF!</v>
      </c>
      <c r="I41" s="80" t="e">
        <f>IF(I38&gt;0,I38*0.3,0)</f>
        <v>#REF!</v>
      </c>
      <c r="J41" s="80" t="e">
        <f>IF(J38&gt;0,J38*0.3,0)</f>
        <v>#REF!</v>
      </c>
      <c r="K41" s="80"/>
      <c r="L41" s="80"/>
      <c r="M41" s="80"/>
      <c r="N41" s="73"/>
      <c r="O41" s="80">
        <v>68871.889500000019</v>
      </c>
      <c r="P41" s="41"/>
      <c r="Q41" s="57">
        <f>E41-O41</f>
        <v>-68871.889500000019</v>
      </c>
      <c r="R41" s="41"/>
      <c r="S41" s="55">
        <f>E41/O41</f>
        <v>0</v>
      </c>
    </row>
    <row r="42" spans="1:19" s="6" customFormat="1" ht="13.8" x14ac:dyDescent="0.25">
      <c r="A42" s="45"/>
      <c r="B42" s="58" t="s">
        <v>203</v>
      </c>
      <c r="C42" s="51">
        <f>IF(C40&gt;C41,C38-C40,C38-C41)</f>
        <v>10233</v>
      </c>
      <c r="D42" s="51" t="e">
        <f>IF(D40&gt;D41,D38-D40,D38-D41)</f>
        <v>#REF!</v>
      </c>
      <c r="E42" s="51">
        <f>IF(E40&gt;E41,E38-E40,E38-E41)</f>
        <v>102850.164</v>
      </c>
      <c r="F42" s="51" t="e">
        <f>F24-F26-F40</f>
        <v>#REF!</v>
      </c>
      <c r="G42" s="51" t="e">
        <f>G24-G26-G40</f>
        <v>#REF!</v>
      </c>
      <c r="H42" s="51" t="e">
        <f>H24-H26-H40</f>
        <v>#REF!</v>
      </c>
      <c r="I42" s="51" t="e">
        <f>I24-I26-I40</f>
        <v>#REF!</v>
      </c>
      <c r="J42" s="51" t="e">
        <f>J24-J26-J40</f>
        <v>#REF!</v>
      </c>
      <c r="K42" s="51"/>
      <c r="L42" s="51"/>
      <c r="M42" s="51"/>
      <c r="N42" s="44"/>
      <c r="O42" s="52">
        <v>160701.07550000004</v>
      </c>
      <c r="P42" s="41"/>
      <c r="Q42" s="57">
        <f>E42-O42</f>
        <v>-57850.911500000031</v>
      </c>
      <c r="R42" s="41"/>
      <c r="S42" s="55">
        <f>E42/O42</f>
        <v>0.64000918276368335</v>
      </c>
    </row>
    <row r="43" spans="1:19" s="6" customFormat="1" ht="13.8" x14ac:dyDescent="0.25">
      <c r="A43" s="45"/>
      <c r="B43" s="58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4"/>
      <c r="O43" s="53"/>
      <c r="P43" s="41"/>
      <c r="Q43" s="57"/>
      <c r="R43" s="41"/>
      <c r="S43" s="43"/>
    </row>
    <row r="44" spans="1:19" s="6" customFormat="1" ht="13.8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4"/>
      <c r="O44" s="53"/>
      <c r="P44" s="41"/>
      <c r="Q44" s="57"/>
      <c r="R44" s="41"/>
      <c r="S44" s="43"/>
    </row>
    <row r="45" spans="1:19" x14ac:dyDescent="0.25">
      <c r="A45" s="45"/>
      <c r="B45" s="45" t="s">
        <v>204</v>
      </c>
      <c r="C45" s="83">
        <f>+C13/C9</f>
        <v>0.66999987075038026</v>
      </c>
      <c r="D45" s="83" t="e">
        <f>+D13/D9</f>
        <v>#REF!</v>
      </c>
      <c r="E45" s="83">
        <f>+E13/E9</f>
        <v>0.60044075216097659</v>
      </c>
      <c r="F45" s="83">
        <f>F13/F9</f>
        <v>0.56241499487882507</v>
      </c>
      <c r="G45" s="83">
        <f>G13/G9</f>
        <v>0.48559649282580536</v>
      </c>
      <c r="H45" s="83">
        <f>H13/H9</f>
        <v>0.5495336811764987</v>
      </c>
      <c r="I45" s="83">
        <f>I13/I9</f>
        <v>0.56854443576496583</v>
      </c>
      <c r="J45" s="83" t="e">
        <f>J13/J9</f>
        <v>#REF!</v>
      </c>
      <c r="K45" s="83"/>
      <c r="L45" s="83"/>
      <c r="M45" s="83"/>
      <c r="N45" s="44"/>
      <c r="O45" s="84">
        <v>0.72657239461017009</v>
      </c>
      <c r="P45" s="41"/>
      <c r="Q45" s="57">
        <f>E45-O45</f>
        <v>-0.1261316424491935</v>
      </c>
      <c r="R45" s="41"/>
      <c r="S45" s="43"/>
    </row>
    <row r="46" spans="1:19" x14ac:dyDescent="0.25">
      <c r="A46" s="45"/>
      <c r="B46" s="45" t="s">
        <v>205</v>
      </c>
      <c r="C46" s="83">
        <f t="shared" ref="C46:J46" si="8">C24/C9</f>
        <v>0.2265875084550793</v>
      </c>
      <c r="D46" s="83" t="e">
        <f t="shared" si="8"/>
        <v>#REF!</v>
      </c>
      <c r="E46" s="83">
        <f t="shared" si="8"/>
        <v>0.24890787739403783</v>
      </c>
      <c r="F46" s="83" t="e">
        <f t="shared" si="8"/>
        <v>#REF!</v>
      </c>
      <c r="G46" s="83" t="e">
        <f t="shared" si="8"/>
        <v>#REF!</v>
      </c>
      <c r="H46" s="83" t="e">
        <f t="shared" si="8"/>
        <v>#REF!</v>
      </c>
      <c r="I46" s="83" t="e">
        <f t="shared" si="8"/>
        <v>#REF!</v>
      </c>
      <c r="J46" s="83" t="e">
        <f t="shared" si="8"/>
        <v>#REF!</v>
      </c>
      <c r="K46" s="83"/>
      <c r="L46" s="83"/>
      <c r="M46" s="83"/>
      <c r="N46" s="44"/>
      <c r="O46" s="84"/>
      <c r="P46" s="41"/>
      <c r="Q46" s="57"/>
      <c r="R46" s="41"/>
      <c r="S46" s="43"/>
    </row>
    <row r="47" spans="1:19" x14ac:dyDescent="0.25">
      <c r="A47" s="45"/>
      <c r="B47" s="85" t="s">
        <v>206</v>
      </c>
      <c r="C47" s="83">
        <f t="shared" ref="C47:J47" si="9">C42/C9</f>
        <v>4.4087045310608378E-2</v>
      </c>
      <c r="D47" s="83" t="e">
        <f t="shared" si="9"/>
        <v>#REF!</v>
      </c>
      <c r="E47" s="83">
        <f t="shared" si="9"/>
        <v>0.15439861048978135</v>
      </c>
      <c r="F47" s="83" t="e">
        <f t="shared" si="9"/>
        <v>#REF!</v>
      </c>
      <c r="G47" s="83" t="e">
        <f t="shared" si="9"/>
        <v>#REF!</v>
      </c>
      <c r="H47" s="83" t="e">
        <f t="shared" si="9"/>
        <v>#REF!</v>
      </c>
      <c r="I47" s="83" t="e">
        <f t="shared" si="9"/>
        <v>#REF!</v>
      </c>
      <c r="J47" s="83" t="e">
        <f t="shared" si="9"/>
        <v>#REF!</v>
      </c>
      <c r="K47" s="83"/>
      <c r="L47" s="83"/>
      <c r="M47" s="83"/>
      <c r="N47" s="44"/>
      <c r="O47" s="84">
        <v>0.36831313720155978</v>
      </c>
      <c r="P47" s="41"/>
      <c r="Q47" s="57">
        <f>E46-O47</f>
        <v>-0.11940525980752195</v>
      </c>
      <c r="R47" s="41"/>
      <c r="S47" s="43"/>
    </row>
    <row r="48" spans="1:19" x14ac:dyDescent="0.25">
      <c r="A48" s="45"/>
      <c r="B48" s="45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44"/>
      <c r="O48" s="73"/>
      <c r="P48" s="41"/>
      <c r="Q48" s="57"/>
      <c r="R48" s="41"/>
      <c r="S48" s="43"/>
    </row>
    <row r="49" spans="1:19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83"/>
      <c r="L49" s="83"/>
      <c r="M49" s="83"/>
      <c r="N49" s="44"/>
      <c r="O49" s="84">
        <v>0.23792101874522306</v>
      </c>
      <c r="P49" s="41"/>
      <c r="Q49" s="57">
        <f>E47-O49</f>
        <v>-8.3522408255441716E-2</v>
      </c>
      <c r="R49" s="41"/>
      <c r="S49" s="43"/>
    </row>
    <row r="50" spans="1:19" x14ac:dyDescent="0.25">
      <c r="A50" s="46"/>
      <c r="B50" s="46"/>
      <c r="C50" s="46"/>
      <c r="D50" s="46"/>
      <c r="E50" s="86"/>
      <c r="F50" s="86"/>
      <c r="G50" s="86"/>
      <c r="H50" s="86"/>
      <c r="I50" s="86"/>
      <c r="J50" s="86"/>
      <c r="K50" s="86"/>
      <c r="L50" s="86"/>
      <c r="M50" s="86"/>
      <c r="N50" s="44"/>
      <c r="O50" s="73"/>
      <c r="P50" s="41"/>
      <c r="Q50" s="42"/>
      <c r="R50" s="41"/>
      <c r="S50" s="43"/>
    </row>
    <row r="51" spans="1:19" x14ac:dyDescent="0.25">
      <c r="A51" s="46"/>
      <c r="B51" s="46" t="s">
        <v>207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4"/>
      <c r="O51" s="73"/>
      <c r="P51" s="41"/>
      <c r="Q51" s="42"/>
      <c r="R51" s="41"/>
      <c r="S51" s="43"/>
    </row>
    <row r="52" spans="1:19" x14ac:dyDescent="0.25">
      <c r="A52" s="46"/>
      <c r="B52" s="46" t="s">
        <v>208</v>
      </c>
      <c r="C52" s="87"/>
      <c r="D52" s="87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9"/>
      <c r="P52" s="41"/>
      <c r="Q52" s="42"/>
      <c r="R52" s="41"/>
      <c r="S52" s="43"/>
    </row>
    <row r="53" spans="1:19" x14ac:dyDescent="0.25">
      <c r="A53" s="46"/>
      <c r="B53" s="87"/>
      <c r="C53" s="87"/>
      <c r="D53" s="87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9"/>
      <c r="P53" s="41"/>
      <c r="Q53" s="42"/>
      <c r="R53" s="41"/>
      <c r="S53" s="43"/>
    </row>
    <row r="54" spans="1:19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1"/>
      <c r="P54" s="41"/>
      <c r="Q54" s="42"/>
      <c r="R54" s="41"/>
      <c r="S54" s="43"/>
    </row>
    <row r="55" spans="1:19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1"/>
      <c r="P55" s="41"/>
      <c r="Q55" s="42"/>
      <c r="R55" s="41"/>
      <c r="S55" s="43"/>
    </row>
    <row r="56" spans="1:19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1"/>
      <c r="P56" s="41"/>
      <c r="Q56" s="42"/>
      <c r="R56" s="41"/>
      <c r="S56" s="43"/>
    </row>
    <row r="57" spans="1:19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1"/>
      <c r="P57" s="41"/>
      <c r="Q57" s="42"/>
      <c r="R57" s="41"/>
      <c r="S57" s="43"/>
    </row>
    <row r="58" spans="1:19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1"/>
      <c r="P58" s="41"/>
      <c r="Q58" s="42"/>
      <c r="R58" s="41"/>
      <c r="S58" s="43"/>
    </row>
    <row r="59" spans="1:19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1"/>
      <c r="P59" s="41"/>
      <c r="Q59" s="42"/>
      <c r="R59" s="41"/>
      <c r="S59" s="43"/>
    </row>
    <row r="60" spans="1:19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1"/>
      <c r="P60" s="41"/>
      <c r="Q60" s="42"/>
      <c r="R60" s="41"/>
      <c r="S60" s="43"/>
    </row>
    <row r="61" spans="1:19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1"/>
      <c r="P61" s="41"/>
      <c r="Q61" s="42"/>
      <c r="R61" s="41"/>
      <c r="S61" s="43"/>
    </row>
    <row r="62" spans="1:19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1"/>
      <c r="P62" s="41"/>
      <c r="Q62" s="42"/>
      <c r="R62" s="41"/>
      <c r="S62" s="43"/>
    </row>
    <row r="63" spans="1:19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1"/>
      <c r="P63" s="41"/>
      <c r="Q63" s="42"/>
      <c r="R63" s="41"/>
      <c r="S63" s="43"/>
    </row>
    <row r="64" spans="1:19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1"/>
      <c r="P64" s="41"/>
      <c r="Q64" s="42"/>
      <c r="R64" s="41"/>
      <c r="S64" s="43"/>
    </row>
    <row r="65" spans="1:19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1"/>
      <c r="P65" s="41"/>
      <c r="Q65" s="42"/>
      <c r="R65" s="41"/>
      <c r="S65" s="43"/>
    </row>
    <row r="66" spans="1:19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1"/>
      <c r="P66" s="41"/>
      <c r="Q66" s="42"/>
      <c r="R66" s="41"/>
      <c r="S66" s="43"/>
    </row>
    <row r="67" spans="1:19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1"/>
      <c r="P67" s="41"/>
      <c r="Q67" s="42"/>
      <c r="R67" s="41"/>
      <c r="S67" s="43"/>
    </row>
    <row r="68" spans="1:19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1"/>
      <c r="P68" s="41"/>
      <c r="Q68" s="42"/>
      <c r="R68" s="41"/>
      <c r="S68" s="43"/>
    </row>
    <row r="69" spans="1:19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1"/>
      <c r="P69" s="41"/>
      <c r="Q69" s="42"/>
      <c r="R69" s="41"/>
      <c r="S69" s="43"/>
    </row>
    <row r="70" spans="1:19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1"/>
      <c r="P70" s="41"/>
      <c r="Q70" s="42"/>
      <c r="R70" s="41"/>
      <c r="S70" s="43"/>
    </row>
    <row r="71" spans="1:19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1"/>
      <c r="P71" s="41"/>
      <c r="Q71" s="42"/>
      <c r="R71" s="41"/>
      <c r="S71" s="43"/>
    </row>
    <row r="72" spans="1:19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1"/>
      <c r="P72" s="41"/>
      <c r="Q72" s="42"/>
      <c r="R72" s="41"/>
      <c r="S72" s="43"/>
    </row>
    <row r="73" spans="1:19" x14ac:dyDescent="0.25">
      <c r="A73" s="46"/>
      <c r="B73" s="90"/>
      <c r="C73" s="45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5" t="s">
        <v>204</v>
      </c>
      <c r="O73" s="41"/>
      <c r="P73" s="41" t="s">
        <v>209</v>
      </c>
      <c r="Q73" s="42"/>
      <c r="R73" s="41"/>
      <c r="S73" s="43"/>
    </row>
    <row r="74" spans="1:19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5" t="s">
        <v>205</v>
      </c>
      <c r="O74" s="41"/>
      <c r="P74" s="41" t="s">
        <v>210</v>
      </c>
      <c r="Q74" s="42"/>
      <c r="R74" s="41"/>
      <c r="S74" s="43"/>
    </row>
    <row r="75" spans="1:19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85" t="s">
        <v>206</v>
      </c>
      <c r="O75" s="41"/>
      <c r="P75" s="41" t="s">
        <v>211</v>
      </c>
      <c r="Q75" s="42"/>
      <c r="R75" s="41"/>
      <c r="S75" s="43"/>
    </row>
    <row r="76" spans="1:19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5"/>
      <c r="O76" s="41"/>
      <c r="P76" s="41"/>
      <c r="Q76" s="42"/>
      <c r="R76" s="41"/>
      <c r="S76" s="43"/>
    </row>
    <row r="77" spans="1:19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>
        <v>2009</v>
      </c>
      <c r="O77" s="41">
        <f>N77+1</f>
        <v>2010</v>
      </c>
      <c r="P77" s="41" t="s">
        <v>212</v>
      </c>
      <c r="Q77" s="42"/>
      <c r="R77" s="41"/>
      <c r="S77" s="43"/>
    </row>
    <row r="78" spans="1:19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91">
        <f>-0.057*6+0.7559</f>
        <v>0.41389999999999999</v>
      </c>
      <c r="O78" s="92">
        <f>-0.057*7+0.7559</f>
        <v>0.3569</v>
      </c>
      <c r="P78" s="41" t="s">
        <v>204</v>
      </c>
      <c r="Q78" s="42"/>
      <c r="R78" s="41"/>
      <c r="S78" s="43"/>
    </row>
  </sheetData>
  <phoneticPr fontId="0" type="noConversion"/>
  <hyperlinks>
    <hyperlink ref="B1" location="Contenido!A1" display="&lt;&lt;Contenido" xr:uid="{A7CB42C5-86F8-4A4D-805C-570974EEA210}"/>
  </hyperlinks>
  <printOptions horizontalCentered="1"/>
  <pageMargins left="0.78740157480314965" right="0.78740157480314965" top="0.98425196850393704" bottom="0.98425196850393704" header="0" footer="0.39370078740157483"/>
  <pageSetup scale="55" orientation="landscape" horizontalDpi="360" verticalDpi="360" r:id="rId1"/>
  <headerFooter alignWithMargins="0">
    <oddFooter>&amp;R&amp;10 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3E4F-88CB-4005-9FFD-CEAF7F04847D}">
  <dimension ref="A1:K43"/>
  <sheetViews>
    <sheetView showGridLines="0" topLeftCell="A13" zoomScale="80" zoomScaleNormal="80" workbookViewId="0">
      <selection activeCell="A2" sqref="A2"/>
    </sheetView>
  </sheetViews>
  <sheetFormatPr defaultRowHeight="15.6" x14ac:dyDescent="0.3"/>
  <cols>
    <col min="1" max="1" width="4.08984375" style="3" customWidth="1"/>
    <col min="2" max="2" width="4.36328125" style="3" customWidth="1"/>
    <col min="3" max="3" width="45.36328125" style="3" bestFit="1" customWidth="1"/>
    <col min="4" max="4" width="11.54296875" style="3" customWidth="1"/>
    <col min="5" max="5" width="4.453125" style="3" customWidth="1"/>
    <col min="6" max="6" width="7.36328125" style="3" customWidth="1"/>
    <col min="7" max="7" width="38.26953125" style="3" bestFit="1" customWidth="1"/>
    <col min="8" max="9" width="11.54296875" style="3" customWidth="1"/>
    <col min="10" max="10" width="10.90625" style="3" customWidth="1"/>
    <col min="11" max="11" width="8.453125" customWidth="1"/>
    <col min="12" max="254" width="10.90625" customWidth="1"/>
  </cols>
  <sheetData>
    <row r="1" spans="1:11" x14ac:dyDescent="0.3">
      <c r="A1" s="24"/>
      <c r="B1" s="24"/>
      <c r="C1" s="318" t="s">
        <v>402</v>
      </c>
      <c r="D1" s="24"/>
      <c r="E1" s="24"/>
      <c r="F1" s="24"/>
      <c r="G1" s="24"/>
      <c r="H1" s="24"/>
      <c r="I1" s="24"/>
      <c r="J1" s="24"/>
      <c r="K1" s="24"/>
    </row>
    <row r="2" spans="1:1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">
      <c r="A3" s="24"/>
      <c r="B3" s="24"/>
      <c r="C3" s="93" t="s">
        <v>403</v>
      </c>
      <c r="D3" s="24"/>
      <c r="E3" s="24"/>
      <c r="F3" s="24"/>
      <c r="G3" s="320" t="s">
        <v>404</v>
      </c>
      <c r="H3" s="320"/>
      <c r="I3" s="320"/>
      <c r="J3" s="24"/>
      <c r="K3" s="24"/>
    </row>
    <row r="4" spans="1:11" x14ac:dyDescent="0.3">
      <c r="A4" s="26"/>
      <c r="B4" s="26"/>
      <c r="C4" s="94"/>
      <c r="D4" s="26"/>
      <c r="E4" s="26"/>
      <c r="F4" s="26"/>
      <c r="G4" s="94"/>
      <c r="H4" s="26"/>
      <c r="I4" s="26"/>
      <c r="J4" s="26"/>
      <c r="K4" s="26"/>
    </row>
    <row r="5" spans="1:11" ht="16.2" thickBot="1" x14ac:dyDescent="0.35">
      <c r="A5" s="26"/>
      <c r="B5" s="300"/>
      <c r="C5" s="300"/>
      <c r="D5" s="300"/>
      <c r="E5" s="26"/>
      <c r="F5" s="300"/>
      <c r="G5" s="300"/>
      <c r="H5" s="300"/>
      <c r="I5" s="26"/>
      <c r="J5" s="26"/>
      <c r="K5" s="26"/>
    </row>
    <row r="6" spans="1:11" ht="21" x14ac:dyDescent="0.3">
      <c r="A6" s="298"/>
      <c r="B6" s="302"/>
      <c r="C6" s="303" t="s">
        <v>401</v>
      </c>
      <c r="D6" s="304"/>
      <c r="E6" s="311"/>
      <c r="F6" s="302"/>
      <c r="G6" s="303" t="s">
        <v>405</v>
      </c>
      <c r="H6" s="304"/>
      <c r="I6" s="299"/>
      <c r="J6" s="26"/>
      <c r="K6" s="26"/>
    </row>
    <row r="7" spans="1:11" x14ac:dyDescent="0.3">
      <c r="A7" s="298"/>
      <c r="B7" s="305"/>
      <c r="C7" s="27"/>
      <c r="D7" s="306"/>
      <c r="E7" s="311"/>
      <c r="F7" s="305"/>
      <c r="G7" s="27"/>
      <c r="H7" s="306"/>
      <c r="I7" s="299"/>
      <c r="J7" s="26"/>
      <c r="K7" s="26"/>
    </row>
    <row r="8" spans="1:11" x14ac:dyDescent="0.3">
      <c r="A8" s="298"/>
      <c r="B8" s="305"/>
      <c r="C8" s="295" t="s">
        <v>413</v>
      </c>
      <c r="D8" s="306"/>
      <c r="E8" s="311"/>
      <c r="F8" s="305"/>
      <c r="G8" s="297" t="s">
        <v>213</v>
      </c>
      <c r="H8" s="306"/>
      <c r="I8" s="299"/>
      <c r="J8" s="26"/>
      <c r="K8" s="26"/>
    </row>
    <row r="9" spans="1:11" x14ac:dyDescent="0.3">
      <c r="A9" s="298"/>
      <c r="B9" s="305"/>
      <c r="C9" s="295" t="s">
        <v>414</v>
      </c>
      <c r="D9" s="306"/>
      <c r="E9" s="311"/>
      <c r="F9" s="305"/>
      <c r="G9" s="297" t="s">
        <v>418</v>
      </c>
      <c r="H9" s="306"/>
      <c r="I9" s="299"/>
      <c r="J9" s="26"/>
      <c r="K9" s="26"/>
    </row>
    <row r="10" spans="1:11" x14ac:dyDescent="0.3">
      <c r="A10" s="298"/>
      <c r="B10" s="305"/>
      <c r="C10" s="295" t="s">
        <v>415</v>
      </c>
      <c r="D10" s="306"/>
      <c r="E10" s="311"/>
      <c r="F10" s="305"/>
      <c r="G10" s="297" t="s">
        <v>419</v>
      </c>
      <c r="H10" s="306"/>
      <c r="I10" s="299"/>
      <c r="J10" s="26"/>
      <c r="K10" s="26"/>
    </row>
    <row r="11" spans="1:11" x14ac:dyDescent="0.3">
      <c r="A11" s="298"/>
      <c r="B11" s="305"/>
      <c r="C11" s="295" t="s">
        <v>416</v>
      </c>
      <c r="D11" s="306"/>
      <c r="E11" s="311"/>
      <c r="F11" s="305"/>
      <c r="G11" s="297" t="s">
        <v>420</v>
      </c>
      <c r="H11" s="306"/>
      <c r="I11" s="299"/>
      <c r="J11" s="26"/>
      <c r="K11" s="26"/>
    </row>
    <row r="12" spans="1:11" x14ac:dyDescent="0.3">
      <c r="A12" s="298"/>
      <c r="B12" s="305"/>
      <c r="C12" s="295" t="s">
        <v>417</v>
      </c>
      <c r="D12" s="306"/>
      <c r="E12" s="311"/>
      <c r="F12" s="305"/>
      <c r="G12" s="297" t="s">
        <v>214</v>
      </c>
      <c r="H12" s="306"/>
      <c r="I12" s="299"/>
      <c r="J12" s="26"/>
      <c r="K12" s="26"/>
    </row>
    <row r="13" spans="1:11" ht="16.2" thickBot="1" x14ac:dyDescent="0.35">
      <c r="A13" s="298"/>
      <c r="B13" s="305"/>
      <c r="C13" s="26"/>
      <c r="D13" s="306"/>
      <c r="E13" s="311"/>
      <c r="F13" s="313"/>
      <c r="G13" s="300"/>
      <c r="H13" s="314"/>
      <c r="I13" s="299"/>
      <c r="J13" s="26"/>
      <c r="K13" s="26"/>
    </row>
    <row r="14" spans="1:11" ht="21" x14ac:dyDescent="0.3">
      <c r="A14" s="298"/>
      <c r="B14" s="305"/>
      <c r="C14" s="296" t="s">
        <v>406</v>
      </c>
      <c r="D14" s="306"/>
      <c r="E14" s="311"/>
      <c r="F14" s="302"/>
      <c r="G14" s="303" t="s">
        <v>407</v>
      </c>
      <c r="H14" s="304"/>
      <c r="I14" s="299"/>
      <c r="J14" s="26"/>
      <c r="K14" s="26"/>
    </row>
    <row r="15" spans="1:11" x14ac:dyDescent="0.3">
      <c r="A15" s="298"/>
      <c r="B15" s="305"/>
      <c r="C15" s="27"/>
      <c r="D15" s="306"/>
      <c r="E15" s="311"/>
      <c r="F15" s="305"/>
      <c r="G15" s="27"/>
      <c r="H15" s="306"/>
      <c r="I15" s="299"/>
      <c r="J15" s="26"/>
      <c r="K15" s="26"/>
    </row>
    <row r="16" spans="1:11" x14ac:dyDescent="0.3">
      <c r="A16" s="298"/>
      <c r="B16" s="305"/>
      <c r="C16" s="295" t="s">
        <v>421</v>
      </c>
      <c r="D16" s="306"/>
      <c r="E16" s="311"/>
      <c r="F16" s="305"/>
      <c r="G16" s="297" t="s">
        <v>424</v>
      </c>
      <c r="H16" s="306"/>
      <c r="I16" s="299"/>
      <c r="J16" s="26"/>
      <c r="K16" s="26"/>
    </row>
    <row r="17" spans="1:11" x14ac:dyDescent="0.3">
      <c r="A17" s="298"/>
      <c r="B17" s="305"/>
      <c r="C17" s="295" t="s">
        <v>422</v>
      </c>
      <c r="D17" s="306"/>
      <c r="E17" s="311"/>
      <c r="F17" s="305"/>
      <c r="G17" s="26"/>
      <c r="H17" s="306"/>
      <c r="I17" s="299"/>
      <c r="J17" s="26"/>
      <c r="K17" s="26"/>
    </row>
    <row r="18" spans="1:11" ht="16.2" thickBot="1" x14ac:dyDescent="0.35">
      <c r="A18" s="298"/>
      <c r="B18" s="305"/>
      <c r="C18" s="295" t="s">
        <v>423</v>
      </c>
      <c r="D18" s="306"/>
      <c r="E18" s="311"/>
      <c r="F18" s="307"/>
      <c r="G18" s="308"/>
      <c r="H18" s="309"/>
      <c r="I18" s="299"/>
      <c r="J18" s="26"/>
      <c r="K18" s="26"/>
    </row>
    <row r="19" spans="1:11" x14ac:dyDescent="0.3">
      <c r="A19" s="298"/>
      <c r="B19" s="305"/>
      <c r="C19" s="95"/>
      <c r="D19" s="306"/>
      <c r="E19" s="311"/>
      <c r="F19" s="315"/>
      <c r="G19" s="301"/>
      <c r="H19" s="316"/>
      <c r="I19" s="299"/>
      <c r="J19" s="26"/>
      <c r="K19" s="26"/>
    </row>
    <row r="20" spans="1:11" ht="21" x14ac:dyDescent="0.3">
      <c r="A20" s="298"/>
      <c r="B20" s="305"/>
      <c r="C20" s="296" t="s">
        <v>408</v>
      </c>
      <c r="D20" s="306"/>
      <c r="E20" s="311"/>
      <c r="F20" s="305"/>
      <c r="G20" s="296" t="s">
        <v>409</v>
      </c>
      <c r="H20" s="306"/>
      <c r="I20" s="299"/>
      <c r="J20" s="26"/>
      <c r="K20" s="26"/>
    </row>
    <row r="21" spans="1:11" x14ac:dyDescent="0.3">
      <c r="A21" s="298"/>
      <c r="B21" s="305"/>
      <c r="C21" s="27"/>
      <c r="D21" s="306"/>
      <c r="E21" s="311"/>
      <c r="F21" s="305"/>
      <c r="G21" s="27"/>
      <c r="H21" s="306"/>
      <c r="I21" s="299"/>
      <c r="J21" s="26"/>
      <c r="K21" s="26"/>
    </row>
    <row r="22" spans="1:11" x14ac:dyDescent="0.3">
      <c r="A22" s="298"/>
      <c r="B22" s="305"/>
      <c r="C22" s="295" t="s">
        <v>425</v>
      </c>
      <c r="D22" s="306"/>
      <c r="E22" s="311"/>
      <c r="F22" s="305"/>
      <c r="G22" s="297" t="s">
        <v>426</v>
      </c>
      <c r="H22" s="306"/>
      <c r="I22" s="299"/>
      <c r="J22" s="26"/>
      <c r="K22" s="26"/>
    </row>
    <row r="23" spans="1:11" x14ac:dyDescent="0.3">
      <c r="A23" s="298"/>
      <c r="B23" s="305"/>
      <c r="C23" s="295" t="s">
        <v>215</v>
      </c>
      <c r="D23" s="306"/>
      <c r="E23" s="311"/>
      <c r="F23" s="305"/>
      <c r="G23" s="297" t="s">
        <v>427</v>
      </c>
      <c r="H23" s="306"/>
      <c r="I23" s="299"/>
      <c r="J23" s="26"/>
      <c r="K23" s="26"/>
    </row>
    <row r="24" spans="1:11" ht="16.2" thickBot="1" x14ac:dyDescent="0.35">
      <c r="A24" s="298"/>
      <c r="B24" s="307"/>
      <c r="C24" s="308"/>
      <c r="D24" s="309"/>
      <c r="E24" s="311"/>
      <c r="F24" s="307"/>
      <c r="G24" s="312" t="s">
        <v>216</v>
      </c>
      <c r="H24" s="309"/>
      <c r="I24" s="299"/>
      <c r="J24" s="26"/>
      <c r="K24" s="26"/>
    </row>
    <row r="25" spans="1:11" x14ac:dyDescent="0.3">
      <c r="A25" s="298"/>
      <c r="B25" s="302"/>
      <c r="C25" s="310"/>
      <c r="D25" s="304"/>
      <c r="E25" s="299"/>
      <c r="F25" s="301"/>
      <c r="G25" s="301"/>
      <c r="H25" s="301"/>
      <c r="I25" s="26"/>
      <c r="J25" s="26"/>
      <c r="K25" s="26"/>
    </row>
    <row r="26" spans="1:11" ht="21" x14ac:dyDescent="0.3">
      <c r="A26" s="298"/>
      <c r="B26" s="305"/>
      <c r="C26" s="296" t="s">
        <v>410</v>
      </c>
      <c r="D26" s="306"/>
      <c r="E26" s="299"/>
      <c r="F26" s="26"/>
      <c r="G26" s="26"/>
      <c r="H26" s="26"/>
      <c r="I26" s="26"/>
      <c r="J26" s="26"/>
      <c r="K26" s="26"/>
    </row>
    <row r="27" spans="1:11" x14ac:dyDescent="0.3">
      <c r="A27" s="298"/>
      <c r="B27" s="305"/>
      <c r="C27" s="295" t="s">
        <v>428</v>
      </c>
      <c r="D27" s="306"/>
      <c r="E27" s="299"/>
      <c r="F27" s="26"/>
      <c r="G27" s="26"/>
      <c r="H27" s="26"/>
      <c r="I27" s="26"/>
      <c r="J27" s="26"/>
      <c r="K27" s="26"/>
    </row>
    <row r="28" spans="1:11" x14ac:dyDescent="0.3">
      <c r="A28" s="298"/>
      <c r="B28" s="305"/>
      <c r="C28" s="295" t="s">
        <v>429</v>
      </c>
      <c r="D28" s="306"/>
      <c r="E28" s="299"/>
      <c r="F28" s="26"/>
      <c r="G28" s="26"/>
      <c r="H28" s="26"/>
      <c r="I28" s="26"/>
      <c r="J28" s="26"/>
      <c r="K28" s="26"/>
    </row>
    <row r="29" spans="1:11" x14ac:dyDescent="0.3">
      <c r="A29" s="298"/>
      <c r="B29" s="305"/>
      <c r="C29" s="26"/>
      <c r="D29" s="306"/>
      <c r="E29" s="299"/>
      <c r="F29" s="26"/>
      <c r="G29" s="26"/>
      <c r="H29" s="26"/>
      <c r="I29" s="26"/>
      <c r="J29" s="26"/>
      <c r="K29" s="26"/>
    </row>
    <row r="30" spans="1:11" ht="21" x14ac:dyDescent="0.3">
      <c r="A30" s="298"/>
      <c r="B30" s="305"/>
      <c r="C30" s="296" t="s">
        <v>411</v>
      </c>
      <c r="D30" s="306"/>
      <c r="E30" s="299"/>
      <c r="F30" s="26"/>
      <c r="G30" s="26"/>
      <c r="H30" s="26"/>
      <c r="I30" s="26"/>
      <c r="J30" s="26"/>
      <c r="K30" s="26"/>
    </row>
    <row r="31" spans="1:11" x14ac:dyDescent="0.3">
      <c r="A31" s="298"/>
      <c r="B31" s="305"/>
      <c r="C31" s="295" t="s">
        <v>430</v>
      </c>
      <c r="D31" s="306"/>
      <c r="E31" s="299"/>
      <c r="F31" s="26"/>
      <c r="G31" s="26"/>
      <c r="H31" s="26"/>
      <c r="I31" s="26"/>
      <c r="J31" s="26"/>
      <c r="K31" s="26"/>
    </row>
    <row r="32" spans="1:11" x14ac:dyDescent="0.3">
      <c r="A32" s="298"/>
      <c r="B32" s="305"/>
      <c r="C32" s="295" t="s">
        <v>431</v>
      </c>
      <c r="D32" s="306"/>
      <c r="E32" s="299"/>
      <c r="F32" s="26"/>
      <c r="G32" s="26"/>
      <c r="H32" s="26"/>
      <c r="I32" s="26"/>
      <c r="J32" s="26"/>
      <c r="K32" s="26"/>
    </row>
    <row r="33" spans="1:11" x14ac:dyDescent="0.3">
      <c r="A33" s="298"/>
      <c r="B33" s="305"/>
      <c r="C33" s="26"/>
      <c r="D33" s="306"/>
      <c r="E33" s="299"/>
      <c r="F33" s="26"/>
      <c r="G33" s="26"/>
      <c r="H33" s="26"/>
      <c r="I33" s="26"/>
      <c r="J33" s="26"/>
      <c r="K33" s="26"/>
    </row>
    <row r="34" spans="1:11" ht="21" x14ac:dyDescent="0.3">
      <c r="A34" s="298"/>
      <c r="B34" s="305"/>
      <c r="C34" s="296" t="s">
        <v>412</v>
      </c>
      <c r="D34" s="306"/>
      <c r="E34" s="299"/>
      <c r="F34" s="26"/>
      <c r="G34" s="26"/>
      <c r="H34" s="26"/>
      <c r="I34" s="26"/>
      <c r="J34" s="26"/>
      <c r="K34" s="26"/>
    </row>
    <row r="35" spans="1:11" x14ac:dyDescent="0.3">
      <c r="A35" s="298"/>
      <c r="B35" s="305"/>
      <c r="C35" s="295" t="s">
        <v>217</v>
      </c>
      <c r="D35" s="306"/>
      <c r="E35" s="299"/>
      <c r="F35" s="26"/>
      <c r="G35" s="26"/>
      <c r="H35" s="26"/>
      <c r="I35" s="26"/>
      <c r="J35" s="26"/>
      <c r="K35" s="26"/>
    </row>
    <row r="36" spans="1:11" x14ac:dyDescent="0.3">
      <c r="A36" s="298"/>
      <c r="B36" s="305"/>
      <c r="C36" s="295" t="s">
        <v>218</v>
      </c>
      <c r="D36" s="306"/>
      <c r="E36" s="299"/>
      <c r="F36" s="26"/>
      <c r="G36" s="26"/>
      <c r="H36" s="26"/>
      <c r="I36" s="26"/>
      <c r="J36" s="26"/>
      <c r="K36" s="26"/>
    </row>
    <row r="37" spans="1:11" ht="16.2" thickBot="1" x14ac:dyDescent="0.35">
      <c r="A37" s="298"/>
      <c r="B37" s="307"/>
      <c r="C37" s="308"/>
      <c r="D37" s="309"/>
      <c r="E37" s="299"/>
      <c r="F37" s="26"/>
      <c r="G37" s="26"/>
      <c r="H37" s="26"/>
      <c r="I37" s="26"/>
      <c r="J37" s="26"/>
      <c r="K37" s="26"/>
    </row>
    <row r="38" spans="1:11" x14ac:dyDescent="0.3">
      <c r="A38" s="26"/>
      <c r="B38" s="301"/>
      <c r="C38" s="301"/>
      <c r="D38" s="301"/>
      <c r="E38" s="26"/>
      <c r="F38" s="26"/>
      <c r="G38" s="26"/>
      <c r="H38" s="26"/>
      <c r="I38" s="26"/>
      <c r="J38" s="26"/>
      <c r="K38" s="26"/>
    </row>
    <row r="39" spans="1:1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1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</sheetData>
  <mergeCells count="1">
    <mergeCell ref="G3:I3"/>
  </mergeCells>
  <phoneticPr fontId="0" type="noConversion"/>
  <hyperlinks>
    <hyperlink ref="C1" location="Contents!A1" display="&lt;&lt;CONTENTS" xr:uid="{32E26851-B038-4416-BD55-B375A00447FD}"/>
  </hyperlinks>
  <pageMargins left="0.74803149606299202" right="0.74803149606299202" top="0.98425196850393704" bottom="0.98425196850393704" header="0" footer="0"/>
  <pageSetup orientation="portrait" horizontalDpi="4294967293" verticalDpi="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0DC9-D7B4-4477-96C7-82A93B78414E}">
  <sheetPr codeName="Hoja9">
    <pageSetUpPr fitToPage="1"/>
  </sheetPr>
  <dimension ref="A1:J49"/>
  <sheetViews>
    <sheetView showGridLines="0" zoomScale="90" zoomScaleNormal="100" workbookViewId="0">
      <selection activeCell="H2" sqref="H2"/>
    </sheetView>
  </sheetViews>
  <sheetFormatPr defaultColWidth="11.54296875" defaultRowHeight="15" x14ac:dyDescent="0.25"/>
  <cols>
    <col min="1" max="1" width="1.1796875" style="3" customWidth="1"/>
    <col min="2" max="2" width="29.36328125" style="3" bestFit="1" customWidth="1"/>
    <col min="3" max="3" width="8.90625" style="3" customWidth="1"/>
    <col min="4" max="9" width="7.453125" style="3" bestFit="1" customWidth="1"/>
    <col min="10" max="16384" width="11.54296875" style="3"/>
  </cols>
  <sheetData>
    <row r="1" spans="1:10" x14ac:dyDescent="0.25">
      <c r="A1" s="319" t="s">
        <v>219</v>
      </c>
      <c r="B1" s="319"/>
      <c r="C1" s="319"/>
      <c r="D1" s="319"/>
      <c r="E1" s="319"/>
      <c r="F1" s="319"/>
      <c r="G1" s="319"/>
      <c r="H1" s="319"/>
      <c r="I1" s="24"/>
      <c r="J1" s="24"/>
    </row>
    <row r="2" spans="1:10" x14ac:dyDescent="0.25">
      <c r="A2" s="96" t="s">
        <v>220</v>
      </c>
      <c r="B2" s="96"/>
      <c r="C2" s="96"/>
      <c r="D2" s="96"/>
      <c r="E2" s="96"/>
      <c r="F2" s="96"/>
      <c r="G2" s="96"/>
      <c r="H2" s="96"/>
      <c r="I2" s="24"/>
      <c r="J2" s="24"/>
    </row>
    <row r="3" spans="1:10" x14ac:dyDescent="0.25">
      <c r="A3" s="24"/>
      <c r="B3" s="96"/>
      <c r="C3" s="96" t="s">
        <v>221</v>
      </c>
      <c r="D3" s="96"/>
      <c r="E3" s="96"/>
      <c r="F3" s="24"/>
      <c r="G3" s="96"/>
      <c r="H3" s="96"/>
      <c r="I3" s="24"/>
      <c r="J3" s="24"/>
    </row>
    <row r="4" spans="1:10" x14ac:dyDescent="0.25">
      <c r="A4" s="97"/>
      <c r="B4" s="98"/>
      <c r="C4" s="98"/>
      <c r="D4" s="98"/>
      <c r="E4" s="98"/>
      <c r="F4" s="44"/>
      <c r="G4" s="98"/>
      <c r="H4" s="98"/>
      <c r="I4" s="44"/>
      <c r="J4" s="44"/>
    </row>
    <row r="5" spans="1:10" x14ac:dyDescent="0.25">
      <c r="A5" s="97"/>
      <c r="B5" s="98"/>
      <c r="C5" s="98"/>
      <c r="D5" s="98"/>
      <c r="E5" s="98"/>
      <c r="F5" s="44"/>
      <c r="G5" s="98"/>
      <c r="H5" s="98"/>
      <c r="I5" s="44"/>
      <c r="J5" s="44"/>
    </row>
    <row r="6" spans="1:10" x14ac:dyDescent="0.25">
      <c r="A6" s="97"/>
      <c r="B6" s="99" t="s">
        <v>434</v>
      </c>
      <c r="C6" s="99"/>
      <c r="D6" s="100"/>
      <c r="E6" s="101"/>
      <c r="F6" s="101">
        <f>F19/E19-1</f>
        <v>-0.18506589481463231</v>
      </c>
      <c r="G6" s="101">
        <f>G19/F19-1</f>
        <v>0.1091173009136952</v>
      </c>
      <c r="H6" s="101">
        <v>0.08</v>
      </c>
      <c r="I6" s="101">
        <v>0.08</v>
      </c>
      <c r="J6" s="44"/>
    </row>
    <row r="7" spans="1:10" x14ac:dyDescent="0.25">
      <c r="A7" s="97"/>
      <c r="B7" s="99" t="s">
        <v>435</v>
      </c>
      <c r="C7" s="99"/>
      <c r="D7" s="100"/>
      <c r="E7" s="101"/>
      <c r="F7" s="101">
        <f>F20/E20-1</f>
        <v>0.2074036166912967</v>
      </c>
      <c r="G7" s="101">
        <v>0.38600000000000001</v>
      </c>
      <c r="H7" s="101">
        <v>0.2</v>
      </c>
      <c r="I7" s="101">
        <v>0.18</v>
      </c>
      <c r="J7" s="44"/>
    </row>
    <row r="8" spans="1:10" x14ac:dyDescent="0.25">
      <c r="A8" s="97"/>
      <c r="B8" s="102" t="s">
        <v>222</v>
      </c>
      <c r="C8" s="102"/>
      <c r="D8" s="102"/>
      <c r="E8" s="103">
        <f>E19/E$18</f>
        <v>0.45885481277604617</v>
      </c>
      <c r="F8" s="103">
        <f t="shared" ref="F8:I9" si="0">F19/F$18</f>
        <v>0.36322363757511461</v>
      </c>
      <c r="G8" s="103">
        <f t="shared" si="0"/>
        <v>0.31411916258160205</v>
      </c>
      <c r="H8" s="103">
        <f t="shared" si="0"/>
        <v>0.29187561881960189</v>
      </c>
      <c r="I8" s="103">
        <f t="shared" si="0"/>
        <v>0.27391576410198398</v>
      </c>
      <c r="J8" s="44"/>
    </row>
    <row r="9" spans="1:10" x14ac:dyDescent="0.25">
      <c r="A9" s="97"/>
      <c r="B9" s="102" t="s">
        <v>223</v>
      </c>
      <c r="C9" s="102"/>
      <c r="D9" s="102"/>
      <c r="E9" s="103">
        <f>E20/E$18</f>
        <v>0.54114518722395377</v>
      </c>
      <c r="F9" s="103">
        <f t="shared" si="0"/>
        <v>0.63466213948930639</v>
      </c>
      <c r="G9" s="103">
        <f t="shared" si="0"/>
        <v>0.68588083741839789</v>
      </c>
      <c r="H9" s="103">
        <f t="shared" si="0"/>
        <v>0.70812438118039811</v>
      </c>
      <c r="I9" s="103">
        <f t="shared" si="0"/>
        <v>0.72608423589801596</v>
      </c>
      <c r="J9" s="44"/>
    </row>
    <row r="10" spans="1:10" x14ac:dyDescent="0.25">
      <c r="A10" s="97"/>
      <c r="B10" s="104" t="s">
        <v>436</v>
      </c>
      <c r="C10" s="104"/>
      <c r="D10" s="104"/>
      <c r="E10" s="105">
        <f>(E18/D18)-100%</f>
        <v>-9.590636985723866E-2</v>
      </c>
      <c r="F10" s="105">
        <f>(F18/E18)-100%</f>
        <v>2.949367160147065E-2</v>
      </c>
      <c r="G10" s="105">
        <f>(G18/F18)-100%</f>
        <v>0.28249934586754422</v>
      </c>
      <c r="H10" s="105">
        <f>(H18/G18)-100%</f>
        <v>0.16230570049020776</v>
      </c>
      <c r="I10" s="105">
        <f>(I18/H18)-100%</f>
        <v>0.15081243811803979</v>
      </c>
      <c r="J10" s="44"/>
    </row>
    <row r="11" spans="1:10" x14ac:dyDescent="0.25">
      <c r="A11" s="44"/>
      <c r="B11" s="106"/>
      <c r="C11" s="106"/>
      <c r="D11" s="106"/>
      <c r="E11" s="106"/>
      <c r="F11" s="107"/>
      <c r="G11" s="108"/>
      <c r="H11" s="108"/>
      <c r="I11" s="26"/>
      <c r="J11" s="44"/>
    </row>
    <row r="12" spans="1:10" x14ac:dyDescent="0.25">
      <c r="A12" s="109"/>
      <c r="B12" s="109" t="s">
        <v>58</v>
      </c>
      <c r="C12" s="44"/>
      <c r="D12" s="325"/>
      <c r="E12" s="325"/>
      <c r="F12" s="110" t="s">
        <v>106</v>
      </c>
      <c r="G12" s="325" t="s">
        <v>183</v>
      </c>
      <c r="H12" s="325"/>
      <c r="I12" s="325"/>
      <c r="J12" s="44"/>
    </row>
    <row r="13" spans="1:10" x14ac:dyDescent="0.25">
      <c r="A13" s="109"/>
      <c r="B13" s="109"/>
      <c r="C13" s="44"/>
      <c r="D13" s="111">
        <f>E13+1</f>
        <v>2</v>
      </c>
      <c r="E13" s="111">
        <v>1</v>
      </c>
      <c r="F13" s="111"/>
      <c r="G13" s="111">
        <v>1</v>
      </c>
      <c r="H13" s="112">
        <f>G13+1</f>
        <v>2</v>
      </c>
      <c r="I13" s="112">
        <f>H13+1</f>
        <v>3</v>
      </c>
      <c r="J13" s="44"/>
    </row>
    <row r="14" spans="1:10" x14ac:dyDescent="0.25">
      <c r="A14" s="323" t="s">
        <v>12</v>
      </c>
      <c r="B14" s="324"/>
      <c r="C14" s="321"/>
      <c r="D14" s="322">
        <f>$F$14-D13</f>
        <v>2011</v>
      </c>
      <c r="E14" s="322">
        <f>$F$14-E13</f>
        <v>2012</v>
      </c>
      <c r="F14" s="322">
        <v>2013</v>
      </c>
      <c r="G14" s="322">
        <f>$F$14+G13</f>
        <v>2014</v>
      </c>
      <c r="H14" s="322">
        <f>$F$14+H13</f>
        <v>2015</v>
      </c>
      <c r="I14" s="322">
        <f>$F$14+I13</f>
        <v>2016</v>
      </c>
      <c r="J14" s="44"/>
    </row>
    <row r="15" spans="1:10" x14ac:dyDescent="0.25">
      <c r="A15" s="324"/>
      <c r="B15" s="324"/>
      <c r="C15" s="321"/>
      <c r="D15" s="322"/>
      <c r="E15" s="322"/>
      <c r="F15" s="322"/>
      <c r="G15" s="322"/>
      <c r="H15" s="322"/>
      <c r="I15" s="322"/>
      <c r="J15" s="44"/>
    </row>
    <row r="16" spans="1:10" x14ac:dyDescent="0.25">
      <c r="A16" s="324"/>
      <c r="B16" s="324"/>
      <c r="C16" s="321"/>
      <c r="D16" s="322"/>
      <c r="E16" s="322"/>
      <c r="F16" s="322"/>
      <c r="G16" s="322"/>
      <c r="H16" s="322"/>
      <c r="I16" s="322"/>
      <c r="J16" s="44"/>
    </row>
    <row r="17" spans="1:10" x14ac:dyDescent="0.25">
      <c r="A17" s="44"/>
      <c r="B17" s="114" t="s">
        <v>224</v>
      </c>
      <c r="C17" s="114"/>
      <c r="D17" s="115"/>
      <c r="E17" s="44"/>
      <c r="F17" s="44"/>
      <c r="G17" s="44"/>
      <c r="H17" s="44"/>
      <c r="I17" s="44"/>
      <c r="J17" s="44"/>
    </row>
    <row r="18" spans="1:10" x14ac:dyDescent="0.25">
      <c r="A18" s="44"/>
      <c r="B18" s="114" t="s">
        <v>437</v>
      </c>
      <c r="C18" s="44"/>
      <c r="D18" s="116">
        <f>'P&amp;L (New)'!B8</f>
        <v>1565682.97</v>
      </c>
      <c r="E18" s="116">
        <f>SUM(E19:E21)</f>
        <v>1415524</v>
      </c>
      <c r="F18" s="116">
        <f>SUM(F19:F21)</f>
        <v>1457273</v>
      </c>
      <c r="G18" s="116">
        <f>SUM(G19:G21)</f>
        <v>1868951.6692504338</v>
      </c>
      <c r="H18" s="116">
        <f>SUM(H19:H21)</f>
        <v>2172293.1791104684</v>
      </c>
      <c r="I18" s="116">
        <f>SUM(I19:I21)</f>
        <v>2499902.009759306</v>
      </c>
      <c r="J18" s="44"/>
    </row>
    <row r="19" spans="1:10" x14ac:dyDescent="0.25">
      <c r="A19" s="44"/>
      <c r="B19" s="44" t="s">
        <v>225</v>
      </c>
      <c r="C19" s="44"/>
      <c r="D19" s="117"/>
      <c r="E19" s="117">
        <v>649520</v>
      </c>
      <c r="F19" s="117">
        <v>529316</v>
      </c>
      <c r="G19" s="117">
        <v>587073.53325043351</v>
      </c>
      <c r="H19" s="117">
        <f>G19*(1+H6)</f>
        <v>634039.4159104682</v>
      </c>
      <c r="I19" s="117">
        <f>H19*(1+I6)</f>
        <v>684762.56918330572</v>
      </c>
      <c r="J19" s="44"/>
    </row>
    <row r="20" spans="1:10" x14ac:dyDescent="0.25">
      <c r="A20" s="44"/>
      <c r="B20" s="44" t="s">
        <v>226</v>
      </c>
      <c r="C20" s="44"/>
      <c r="D20" s="118"/>
      <c r="E20" s="118">
        <v>766004</v>
      </c>
      <c r="F20" s="118">
        <v>924876</v>
      </c>
      <c r="G20" s="117">
        <f>F20*(1+G7)</f>
        <v>1281878.1360000002</v>
      </c>
      <c r="H20" s="117">
        <f>G20*(1+H7)</f>
        <v>1538253.7632000002</v>
      </c>
      <c r="I20" s="117">
        <f>H20*(1+I7)</f>
        <v>1815139.4405760001</v>
      </c>
      <c r="J20" s="44"/>
    </row>
    <row r="21" spans="1:10" x14ac:dyDescent="0.25">
      <c r="A21" s="44"/>
      <c r="B21" s="44" t="s">
        <v>433</v>
      </c>
      <c r="C21" s="44"/>
      <c r="D21" s="118"/>
      <c r="E21" s="118"/>
      <c r="F21" s="118">
        <v>3081</v>
      </c>
      <c r="G21" s="118"/>
      <c r="H21" s="118"/>
      <c r="I21" s="118"/>
      <c r="J21" s="44"/>
    </row>
    <row r="22" spans="1:10" x14ac:dyDescent="0.25">
      <c r="A22" s="44"/>
      <c r="B22" s="119"/>
      <c r="C22" s="44"/>
      <c r="D22" s="120"/>
      <c r="E22" s="120"/>
      <c r="F22" s="120"/>
      <c r="G22" s="120"/>
      <c r="H22" s="120"/>
      <c r="I22" s="120"/>
      <c r="J22" s="44"/>
    </row>
    <row r="23" spans="1:10" x14ac:dyDescent="0.25">
      <c r="A23" s="121"/>
      <c r="B23" s="122" t="s">
        <v>438</v>
      </c>
      <c r="C23" s="44"/>
      <c r="D23" s="123">
        <f t="shared" ref="D23:I23" si="1">D18</f>
        <v>1565682.97</v>
      </c>
      <c r="E23" s="123">
        <f t="shared" si="1"/>
        <v>1415524</v>
      </c>
      <c r="F23" s="123">
        <f t="shared" si="1"/>
        <v>1457273</v>
      </c>
      <c r="G23" s="123">
        <f t="shared" si="1"/>
        <v>1868951.6692504338</v>
      </c>
      <c r="H23" s="123">
        <f t="shared" si="1"/>
        <v>2172293.1791104684</v>
      </c>
      <c r="I23" s="123">
        <f t="shared" si="1"/>
        <v>2499902.009759306</v>
      </c>
      <c r="J23" s="44"/>
    </row>
    <row r="24" spans="1:10" x14ac:dyDescent="0.25">
      <c r="A24" s="44"/>
      <c r="B24" s="44"/>
      <c r="C24" s="44"/>
      <c r="D24" s="44"/>
      <c r="E24" s="44"/>
      <c r="F24" s="44"/>
      <c r="G24" s="44" t="s">
        <v>12</v>
      </c>
      <c r="H24" s="44"/>
      <c r="I24" s="44"/>
      <c r="J24" s="44"/>
    </row>
    <row r="25" spans="1:10" x14ac:dyDescent="0.25">
      <c r="A25" s="124"/>
      <c r="B25" s="124" t="s">
        <v>12</v>
      </c>
      <c r="C25" s="124"/>
      <c r="D25" s="44"/>
      <c r="E25" s="44"/>
      <c r="F25" s="44"/>
      <c r="G25" s="44"/>
      <c r="H25" s="44"/>
      <c r="I25" s="125" t="s">
        <v>12</v>
      </c>
      <c r="J25" s="44"/>
    </row>
    <row r="26" spans="1:10" x14ac:dyDescent="0.25">
      <c r="A26" s="124"/>
      <c r="B26" s="124"/>
      <c r="C26" s="124"/>
      <c r="D26" s="44"/>
      <c r="E26" s="44"/>
      <c r="F26" s="44"/>
      <c r="G26" s="44"/>
      <c r="H26" s="44"/>
      <c r="I26" s="125"/>
      <c r="J26" s="44"/>
    </row>
    <row r="27" spans="1:10" x14ac:dyDescent="0.25">
      <c r="A27" s="124"/>
      <c r="B27" s="124"/>
      <c r="C27" s="124"/>
      <c r="D27" s="44"/>
      <c r="E27" s="44"/>
      <c r="F27" s="44"/>
      <c r="G27" s="44"/>
      <c r="H27" s="44"/>
      <c r="I27" s="125"/>
      <c r="J27" s="44"/>
    </row>
    <row r="28" spans="1:10" x14ac:dyDescent="0.25">
      <c r="A28" s="124"/>
      <c r="B28" s="124"/>
      <c r="C28" s="124"/>
      <c r="D28" s="44"/>
      <c r="E28" s="44"/>
      <c r="F28" s="44"/>
      <c r="G28" s="44"/>
      <c r="H28" s="44"/>
      <c r="I28" s="125"/>
      <c r="J28" s="44"/>
    </row>
    <row r="29" spans="1:10" x14ac:dyDescent="0.25">
      <c r="A29" s="124"/>
      <c r="B29" s="124"/>
      <c r="C29" s="124"/>
      <c r="D29" s="44"/>
      <c r="E29" s="44"/>
      <c r="F29" s="44"/>
      <c r="G29" s="44"/>
      <c r="H29" s="44"/>
      <c r="I29" s="125"/>
      <c r="J29" s="44"/>
    </row>
    <row r="30" spans="1:10" x14ac:dyDescent="0.25">
      <c r="A30" s="124"/>
      <c r="B30" s="124"/>
      <c r="C30" s="124"/>
      <c r="D30" s="44"/>
      <c r="E30" s="44"/>
      <c r="F30" s="44"/>
      <c r="G30" s="44"/>
      <c r="H30" s="44"/>
      <c r="I30" s="125"/>
      <c r="J30" s="44"/>
    </row>
    <row r="31" spans="1:10" x14ac:dyDescent="0.25">
      <c r="A31" s="124"/>
      <c r="B31" s="46" t="s">
        <v>12</v>
      </c>
      <c r="C31" s="124"/>
      <c r="D31" s="44"/>
      <c r="E31" s="44"/>
      <c r="F31" s="44"/>
      <c r="G31" s="44"/>
      <c r="H31" s="44"/>
      <c r="I31" s="125" t="s">
        <v>12</v>
      </c>
      <c r="J31" s="44"/>
    </row>
    <row r="32" spans="1:10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x14ac:dyDescent="0.25">
      <c r="A33" s="44"/>
      <c r="B33" s="44"/>
      <c r="C33" s="44"/>
      <c r="D33" s="125" t="s">
        <v>12</v>
      </c>
      <c r="E33" s="125" t="s">
        <v>12</v>
      </c>
      <c r="F33" s="125" t="s">
        <v>12</v>
      </c>
      <c r="G33" s="125" t="s">
        <v>12</v>
      </c>
      <c r="H33" s="125" t="s">
        <v>12</v>
      </c>
      <c r="I33" s="44"/>
      <c r="J33" s="44"/>
    </row>
    <row r="34" spans="1:10" x14ac:dyDescent="0.25">
      <c r="A34" s="44"/>
      <c r="B34" s="44"/>
      <c r="C34" s="44"/>
      <c r="D34" s="112"/>
      <c r="E34" s="112"/>
      <c r="F34" s="112"/>
      <c r="G34" s="112"/>
      <c r="H34" s="112"/>
      <c r="I34" s="44"/>
      <c r="J34" s="44"/>
    </row>
    <row r="35" spans="1:10" x14ac:dyDescent="0.25">
      <c r="A35" s="44"/>
      <c r="B35" s="44"/>
      <c r="C35" s="44"/>
      <c r="D35" s="112"/>
      <c r="E35" s="112"/>
      <c r="F35" s="112"/>
      <c r="G35" s="112"/>
      <c r="H35" s="112"/>
      <c r="I35" s="44"/>
      <c r="J35" s="44"/>
    </row>
    <row r="36" spans="1:10" x14ac:dyDescent="0.25">
      <c r="A36" s="44"/>
      <c r="B36" s="44"/>
      <c r="C36" s="44"/>
      <c r="D36" s="112"/>
      <c r="E36" s="112"/>
      <c r="F36" s="112"/>
      <c r="G36" s="112"/>
      <c r="H36" s="112"/>
      <c r="I36" s="44"/>
      <c r="J36" s="44"/>
    </row>
    <row r="37" spans="1:10" x14ac:dyDescent="0.25">
      <c r="A37" s="44"/>
      <c r="B37" s="44"/>
      <c r="C37" s="44"/>
      <c r="D37" s="112"/>
      <c r="E37" s="112"/>
      <c r="F37" s="112"/>
      <c r="G37" s="112"/>
      <c r="H37" s="112"/>
      <c r="I37" s="44"/>
      <c r="J37" s="44"/>
    </row>
    <row r="38" spans="1:10" x14ac:dyDescent="0.25">
      <c r="A38" s="44"/>
      <c r="B38" s="44"/>
      <c r="C38" s="44"/>
      <c r="D38" s="112"/>
      <c r="E38" s="112"/>
      <c r="F38" s="112"/>
      <c r="G38" s="112"/>
      <c r="H38" s="112"/>
      <c r="I38" s="44"/>
      <c r="J38" s="44"/>
    </row>
    <row r="39" spans="1:10" x14ac:dyDescent="0.25">
      <c r="A39" s="44"/>
      <c r="B39" s="44"/>
      <c r="C39" s="44"/>
      <c r="D39" s="112"/>
      <c r="E39" s="112"/>
      <c r="F39" s="112"/>
      <c r="G39" s="112"/>
      <c r="H39" s="112"/>
      <c r="I39" s="44"/>
      <c r="J39" s="44"/>
    </row>
    <row r="40" spans="1:10" x14ac:dyDescent="0.25">
      <c r="A40" s="44"/>
      <c r="B40" s="44"/>
      <c r="C40" s="44"/>
      <c r="D40" s="112"/>
      <c r="E40" s="112"/>
      <c r="F40" s="112"/>
      <c r="G40" s="112"/>
      <c r="H40" s="112"/>
      <c r="I40" s="44"/>
      <c r="J40" s="44"/>
    </row>
    <row r="41" spans="1:10" x14ac:dyDescent="0.25">
      <c r="A41" s="44"/>
      <c r="B41" s="44"/>
      <c r="C41" s="44"/>
      <c r="D41" s="112"/>
      <c r="E41" s="112"/>
      <c r="F41" s="112"/>
      <c r="G41" s="112"/>
      <c r="H41" s="112"/>
      <c r="I41" s="44"/>
      <c r="J41" s="44"/>
    </row>
    <row r="42" spans="1:10" x14ac:dyDescent="0.25">
      <c r="A42" s="44"/>
      <c r="B42" s="44"/>
      <c r="C42" s="44"/>
      <c r="D42" s="112"/>
      <c r="E42" s="112"/>
      <c r="F42" s="112"/>
      <c r="G42" s="112"/>
      <c r="H42" s="112"/>
      <c r="I42" s="44"/>
      <c r="J42" s="44"/>
    </row>
    <row r="43" spans="1:10" x14ac:dyDescent="0.25">
      <c r="A43" s="44"/>
      <c r="B43" s="44"/>
      <c r="C43" s="44"/>
      <c r="D43" s="112"/>
      <c r="E43" s="112"/>
      <c r="F43" s="112"/>
      <c r="G43" s="112"/>
      <c r="H43" s="112"/>
      <c r="I43" s="44"/>
      <c r="J43" s="44"/>
    </row>
    <row r="44" spans="1:10" x14ac:dyDescent="0.25">
      <c r="A44" s="44"/>
      <c r="B44" s="44"/>
      <c r="C44" s="44"/>
      <c r="D44" s="112"/>
      <c r="E44" s="112"/>
      <c r="F44" s="112"/>
      <c r="G44" s="112"/>
      <c r="H44" s="112"/>
      <c r="I44" s="44"/>
      <c r="J44" s="44"/>
    </row>
    <row r="45" spans="1:10" x14ac:dyDescent="0.25">
      <c r="A45" s="44"/>
      <c r="B45" s="44"/>
      <c r="C45" s="44"/>
      <c r="D45" s="112"/>
      <c r="E45" s="112"/>
      <c r="F45" s="112"/>
      <c r="G45" s="112"/>
      <c r="H45" s="112"/>
      <c r="I45" s="44"/>
      <c r="J45" s="44"/>
    </row>
    <row r="46" spans="1:10" x14ac:dyDescent="0.25">
      <c r="A46" s="44"/>
      <c r="B46" s="44"/>
      <c r="C46" s="44"/>
      <c r="D46" s="112"/>
      <c r="E46" s="112"/>
      <c r="F46" s="112"/>
      <c r="G46" s="112"/>
      <c r="H46" s="112"/>
      <c r="I46" s="44"/>
      <c r="J46" s="44"/>
    </row>
    <row r="47" spans="1:10" x14ac:dyDescent="0.25">
      <c r="A47" s="44"/>
      <c r="B47" s="44"/>
      <c r="C47" s="44"/>
      <c r="D47" s="112"/>
      <c r="E47" s="112"/>
      <c r="F47" s="112"/>
      <c r="G47" s="112"/>
      <c r="H47" s="112"/>
      <c r="I47" s="44"/>
      <c r="J47" s="44"/>
    </row>
    <row r="48" spans="1:10" x14ac:dyDescent="0.25">
      <c r="A48" s="44"/>
      <c r="B48" s="44"/>
      <c r="C48" s="44"/>
      <c r="D48" s="112"/>
      <c r="E48" s="112"/>
      <c r="F48" s="112"/>
      <c r="G48" s="112"/>
      <c r="H48" s="112"/>
      <c r="I48" s="44"/>
      <c r="J48" s="44"/>
    </row>
    <row r="49" spans="1:10" x14ac:dyDescent="0.25">
      <c r="A49" s="44"/>
      <c r="B49" s="44"/>
      <c r="C49" s="44"/>
      <c r="D49" s="112"/>
      <c r="E49" s="112"/>
      <c r="F49" s="112"/>
      <c r="G49" s="112"/>
      <c r="H49" s="112"/>
      <c r="I49" s="44"/>
      <c r="J49" s="44"/>
    </row>
  </sheetData>
  <mergeCells count="11">
    <mergeCell ref="C14:C16"/>
    <mergeCell ref="H14:H16"/>
    <mergeCell ref="I14:I16"/>
    <mergeCell ref="A1:H1"/>
    <mergeCell ref="A14:B16"/>
    <mergeCell ref="F14:F16"/>
    <mergeCell ref="E14:E16"/>
    <mergeCell ref="D14:D16"/>
    <mergeCell ref="G12:I12"/>
    <mergeCell ref="D12:E12"/>
    <mergeCell ref="G14:G16"/>
  </mergeCells>
  <phoneticPr fontId="0" type="noConversion"/>
  <hyperlinks>
    <hyperlink ref="B12" location="Contenido!A1" display="&lt;&lt;Contenido" xr:uid="{EDB3AC55-3609-40F8-AE98-FB2F8CB98FE8}"/>
  </hyperlinks>
  <printOptions horizontalCentered="1"/>
  <pageMargins left="0.25" right="0.25" top="0.75" bottom="0.75" header="0.3" footer="0.3"/>
  <pageSetup scale="98" orientation="landscape" horizontalDpi="360" verticalDpi="360" r:id="rId1"/>
  <headerFooter alignWithMargins="0">
    <oddFooter>&amp;R&amp;10 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5C55-9CE2-4DA5-8C61-08A3F2FA60C2}">
  <sheetPr codeName="Hoja1"/>
  <dimension ref="A1:I55"/>
  <sheetViews>
    <sheetView showGridLines="0" zoomScale="85" zoomScaleNormal="85" workbookViewId="0">
      <selection activeCell="A23" sqref="A23"/>
    </sheetView>
  </sheetViews>
  <sheetFormatPr defaultColWidth="11.54296875" defaultRowHeight="15" x14ac:dyDescent="0.25"/>
  <cols>
    <col min="1" max="1" width="1.08984375" style="3" bestFit="1" customWidth="1"/>
    <col min="2" max="2" width="29" style="3" bestFit="1" customWidth="1"/>
    <col min="3" max="3" width="1.08984375" style="3" bestFit="1" customWidth="1"/>
    <col min="4" max="5" width="4.54296875" style="3" bestFit="1" customWidth="1"/>
    <col min="6" max="6" width="6.6328125" style="3" bestFit="1" customWidth="1"/>
    <col min="7" max="9" width="6.1796875" style="3" bestFit="1" customWidth="1"/>
    <col min="10" max="16384" width="11.54296875" style="3"/>
  </cols>
  <sheetData>
    <row r="1" spans="1:9" x14ac:dyDescent="0.25">
      <c r="A1" s="319" t="str">
        <f>Revenue!A1:H1</f>
        <v>Company  Suquimsa</v>
      </c>
      <c r="B1" s="319"/>
      <c r="C1" s="319"/>
      <c r="D1" s="319"/>
      <c r="E1" s="319"/>
      <c r="F1" s="319"/>
      <c r="G1" s="319"/>
      <c r="H1" s="319"/>
      <c r="I1" s="319"/>
    </row>
    <row r="2" spans="1:9" x14ac:dyDescent="0.25">
      <c r="A2" s="319" t="s">
        <v>441</v>
      </c>
      <c r="B2" s="319"/>
      <c r="C2" s="319"/>
      <c r="D2" s="319"/>
      <c r="E2" s="319"/>
      <c r="F2" s="319"/>
      <c r="G2" s="319"/>
      <c r="H2" s="319"/>
      <c r="I2" s="319"/>
    </row>
    <row r="3" spans="1:9" x14ac:dyDescent="0.25">
      <c r="A3" s="319" t="s">
        <v>221</v>
      </c>
      <c r="B3" s="319"/>
      <c r="C3" s="319"/>
      <c r="D3" s="319"/>
      <c r="E3" s="319"/>
      <c r="F3" s="319"/>
      <c r="G3" s="319"/>
      <c r="H3" s="319"/>
      <c r="I3" s="319"/>
    </row>
    <row r="4" spans="1:9" x14ac:dyDescent="0.25">
      <c r="A4" s="28"/>
      <c r="B4" s="28"/>
      <c r="C4" s="126"/>
      <c r="D4" s="28"/>
      <c r="E4" s="28"/>
      <c r="F4" s="28"/>
      <c r="G4" s="28"/>
      <c r="H4" s="28"/>
      <c r="I4" s="28"/>
    </row>
    <row r="5" spans="1:9" x14ac:dyDescent="0.25">
      <c r="A5" s="44"/>
      <c r="B5" s="99" t="s">
        <v>227</v>
      </c>
      <c r="C5" s="127"/>
      <c r="D5" s="128"/>
      <c r="E5" s="128"/>
      <c r="F5" s="100">
        <v>0.4</v>
      </c>
      <c r="G5" s="100">
        <f>F5</f>
        <v>0.4</v>
      </c>
      <c r="H5" s="100">
        <f>G5</f>
        <v>0.4</v>
      </c>
      <c r="I5" s="100">
        <f>H5</f>
        <v>0.4</v>
      </c>
    </row>
    <row r="6" spans="1:9" x14ac:dyDescent="0.25">
      <c r="A6" s="44"/>
      <c r="B6" s="99" t="s">
        <v>228</v>
      </c>
      <c r="C6" s="127"/>
      <c r="D6" s="128"/>
      <c r="E6" s="128"/>
      <c r="F6" s="100">
        <v>0.68</v>
      </c>
      <c r="G6" s="100">
        <f>F6+1%</f>
        <v>0.69000000000000006</v>
      </c>
      <c r="H6" s="100">
        <f>G6+1%</f>
        <v>0.70000000000000007</v>
      </c>
      <c r="I6" s="100">
        <f>H6+1%</f>
        <v>0.71000000000000008</v>
      </c>
    </row>
    <row r="7" spans="1:9" x14ac:dyDescent="0.25">
      <c r="A7" s="44"/>
      <c r="B7" s="99"/>
      <c r="C7" s="127"/>
      <c r="D7" s="128"/>
      <c r="E7" s="128"/>
      <c r="F7" s="101"/>
      <c r="G7" s="101"/>
      <c r="H7" s="101"/>
      <c r="I7" s="101"/>
    </row>
    <row r="8" spans="1:9" x14ac:dyDescent="0.25">
      <c r="A8" s="28"/>
      <c r="B8" s="102" t="s">
        <v>229</v>
      </c>
      <c r="C8" s="102"/>
      <c r="D8" s="102"/>
      <c r="E8" s="102"/>
      <c r="F8" s="103">
        <f t="shared" ref="F8:I9" si="0">1-F5</f>
        <v>0.6</v>
      </c>
      <c r="G8" s="103">
        <f t="shared" si="0"/>
        <v>0.6</v>
      </c>
      <c r="H8" s="103">
        <f t="shared" si="0"/>
        <v>0.6</v>
      </c>
      <c r="I8" s="103">
        <f t="shared" si="0"/>
        <v>0.6</v>
      </c>
    </row>
    <row r="9" spans="1:9" x14ac:dyDescent="0.25">
      <c r="A9" s="28"/>
      <c r="B9" s="102" t="s">
        <v>230</v>
      </c>
      <c r="C9" s="102"/>
      <c r="D9" s="102"/>
      <c r="E9" s="102"/>
      <c r="F9" s="103">
        <f t="shared" si="0"/>
        <v>0.31999999999999995</v>
      </c>
      <c r="G9" s="103">
        <f t="shared" si="0"/>
        <v>0.30999999999999994</v>
      </c>
      <c r="H9" s="103">
        <f t="shared" si="0"/>
        <v>0.29999999999999993</v>
      </c>
      <c r="I9" s="103">
        <f t="shared" si="0"/>
        <v>0.28999999999999992</v>
      </c>
    </row>
    <row r="10" spans="1:9" x14ac:dyDescent="0.25">
      <c r="A10" s="28"/>
      <c r="B10" s="102" t="s">
        <v>231</v>
      </c>
      <c r="C10" s="102"/>
      <c r="D10" s="102"/>
      <c r="E10" s="102"/>
      <c r="F10" s="103">
        <f>F18/Revenue!F23</f>
        <v>0.42102606718164676</v>
      </c>
      <c r="G10" s="103">
        <f>G18/Revenue!G23</f>
        <v>0.40109455714866454</v>
      </c>
      <c r="H10" s="103">
        <f>H18/Revenue!H23</f>
        <v>0.38756268564588053</v>
      </c>
      <c r="I10" s="103">
        <f>I18/Revenue!I23</f>
        <v>0.37491388687161498</v>
      </c>
    </row>
    <row r="11" spans="1:9" x14ac:dyDescent="0.25">
      <c r="A11" s="26"/>
      <c r="B11" s="106"/>
      <c r="C11" s="129"/>
      <c r="D11" s="106"/>
      <c r="E11" s="106"/>
      <c r="F11" s="106"/>
      <c r="G11" s="106"/>
      <c r="H11" s="26"/>
      <c r="I11" s="26"/>
    </row>
    <row r="12" spans="1:9" x14ac:dyDescent="0.25">
      <c r="A12" s="27" t="s">
        <v>12</v>
      </c>
      <c r="B12" s="109" t="s">
        <v>58</v>
      </c>
      <c r="C12" s="26"/>
      <c r="D12" s="325"/>
      <c r="E12" s="325"/>
      <c r="F12" s="110" t="s">
        <v>106</v>
      </c>
      <c r="G12" s="325" t="s">
        <v>183</v>
      </c>
      <c r="H12" s="325"/>
      <c r="I12" s="325"/>
    </row>
    <row r="13" spans="1:9" x14ac:dyDescent="0.25">
      <c r="A13" s="323"/>
      <c r="B13" s="324"/>
      <c r="C13" s="26"/>
      <c r="D13" s="322">
        <f>Revenue!D14</f>
        <v>2011</v>
      </c>
      <c r="E13" s="322">
        <f>Revenue!E14</f>
        <v>2012</v>
      </c>
      <c r="F13" s="322">
        <f>Revenue!F14</f>
        <v>2013</v>
      </c>
      <c r="G13" s="322">
        <f>Revenue!G14</f>
        <v>2014</v>
      </c>
      <c r="H13" s="322">
        <f>Revenue!H14</f>
        <v>2015</v>
      </c>
      <c r="I13" s="322">
        <f>Revenue!I14</f>
        <v>2016</v>
      </c>
    </row>
    <row r="14" spans="1:9" x14ac:dyDescent="0.25">
      <c r="A14" s="324"/>
      <c r="B14" s="324"/>
      <c r="C14" s="26"/>
      <c r="D14" s="322"/>
      <c r="E14" s="322"/>
      <c r="F14" s="322"/>
      <c r="G14" s="322"/>
      <c r="H14" s="322"/>
      <c r="I14" s="322"/>
    </row>
    <row r="15" spans="1:9" x14ac:dyDescent="0.25">
      <c r="A15" s="324"/>
      <c r="B15" s="324"/>
      <c r="C15" s="26"/>
      <c r="D15" s="322"/>
      <c r="E15" s="322"/>
      <c r="F15" s="322"/>
      <c r="G15" s="322"/>
      <c r="H15" s="322"/>
      <c r="I15" s="322"/>
    </row>
    <row r="16" spans="1:9" x14ac:dyDescent="0.25">
      <c r="A16" s="26"/>
      <c r="B16" s="26" t="s">
        <v>232</v>
      </c>
      <c r="C16" s="26"/>
      <c r="D16" s="130"/>
      <c r="E16" s="130"/>
      <c r="F16" s="130">
        <f>Revenue!F19*F8</f>
        <v>317589.59999999998</v>
      </c>
      <c r="G16" s="130">
        <f>Revenue!G19*G8</f>
        <v>352244.11995026009</v>
      </c>
      <c r="H16" s="130">
        <f>Revenue!H19*H8</f>
        <v>380423.64954628091</v>
      </c>
      <c r="I16" s="130">
        <f>Revenue!I19*I8</f>
        <v>410857.54150998342</v>
      </c>
    </row>
    <row r="17" spans="1:9" x14ac:dyDescent="0.25">
      <c r="A17" s="26"/>
      <c r="B17" s="26" t="s">
        <v>233</v>
      </c>
      <c r="C17" s="26"/>
      <c r="D17" s="130"/>
      <c r="E17" s="130"/>
      <c r="F17" s="130">
        <f>Revenue!F20*F9</f>
        <v>295960.31999999995</v>
      </c>
      <c r="G17" s="130">
        <f>Revenue!G20*G9</f>
        <v>397382.22216</v>
      </c>
      <c r="H17" s="130">
        <f>Revenue!H20*H9</f>
        <v>461476.12895999994</v>
      </c>
      <c r="I17" s="130">
        <f>Revenue!I20*I9</f>
        <v>526390.43776703987</v>
      </c>
    </row>
    <row r="18" spans="1:9" x14ac:dyDescent="0.25">
      <c r="A18" s="121"/>
      <c r="B18" s="122" t="s">
        <v>0</v>
      </c>
      <c r="C18" s="26"/>
      <c r="D18" s="131">
        <f t="shared" ref="D18:I18" si="1">SUM(D16:D17)</f>
        <v>0</v>
      </c>
      <c r="E18" s="131">
        <f t="shared" si="1"/>
        <v>0</v>
      </c>
      <c r="F18" s="131">
        <f t="shared" si="1"/>
        <v>613549.91999999993</v>
      </c>
      <c r="G18" s="131">
        <f t="shared" si="1"/>
        <v>749626.34211026016</v>
      </c>
      <c r="H18" s="131">
        <f t="shared" si="1"/>
        <v>841899.77850628085</v>
      </c>
      <c r="I18" s="131">
        <f t="shared" si="1"/>
        <v>937247.97927702335</v>
      </c>
    </row>
    <row r="19" spans="1:9" x14ac:dyDescent="0.25">
      <c r="A19" s="26"/>
      <c r="B19" s="26"/>
      <c r="C19" s="26"/>
      <c r="D19" s="26"/>
      <c r="E19" s="26"/>
      <c r="F19" s="26"/>
      <c r="G19" s="26"/>
      <c r="H19" s="26" t="s">
        <v>12</v>
      </c>
      <c r="I19" s="26"/>
    </row>
    <row r="20" spans="1:9" x14ac:dyDescent="0.25">
      <c r="A20" s="132"/>
      <c r="B20" s="132" t="s">
        <v>12</v>
      </c>
      <c r="C20" s="132"/>
      <c r="D20" s="26"/>
      <c r="E20" s="26"/>
      <c r="F20" s="26"/>
      <c r="G20" s="26"/>
      <c r="H20" s="26"/>
      <c r="I20" s="26"/>
    </row>
    <row r="21" spans="1:9" x14ac:dyDescent="0.25">
      <c r="A21" s="124"/>
      <c r="B21" s="124"/>
      <c r="C21" s="124"/>
      <c r="D21" s="44"/>
      <c r="E21" s="44"/>
      <c r="F21" s="44"/>
      <c r="G21" s="44"/>
      <c r="H21" s="44"/>
      <c r="I21" s="44"/>
    </row>
    <row r="22" spans="1:9" x14ac:dyDescent="0.25">
      <c r="A22" s="124" t="s">
        <v>439</v>
      </c>
      <c r="B22" s="124"/>
      <c r="C22" s="124"/>
      <c r="D22" s="44"/>
      <c r="E22" s="44"/>
      <c r="F22" s="44"/>
      <c r="G22" s="44"/>
      <c r="H22" s="44"/>
      <c r="I22" s="44"/>
    </row>
    <row r="23" spans="1:9" x14ac:dyDescent="0.25">
      <c r="A23" s="124"/>
      <c r="B23" s="124"/>
      <c r="C23" s="124"/>
      <c r="D23" s="44"/>
      <c r="E23" s="44"/>
      <c r="F23" s="44"/>
      <c r="G23" s="44"/>
      <c r="H23" s="44"/>
      <c r="I23" s="44"/>
    </row>
    <row r="24" spans="1:9" x14ac:dyDescent="0.25">
      <c r="A24" s="124"/>
      <c r="B24" s="46" t="s">
        <v>12</v>
      </c>
      <c r="C24" s="124"/>
      <c r="D24" s="44"/>
      <c r="E24" s="44"/>
      <c r="F24" s="44"/>
      <c r="G24" s="44"/>
      <c r="H24" s="44"/>
      <c r="I24" s="44"/>
    </row>
    <row r="25" spans="1:9" x14ac:dyDescent="0.2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25">
      <c r="A26" s="44"/>
      <c r="B26" s="44"/>
      <c r="C26" s="44"/>
      <c r="D26" s="125" t="s">
        <v>12</v>
      </c>
      <c r="E26" s="125"/>
      <c r="F26" s="125" t="s">
        <v>12</v>
      </c>
      <c r="G26" s="125" t="s">
        <v>12</v>
      </c>
      <c r="H26" s="125" t="s">
        <v>12</v>
      </c>
      <c r="I26" s="125" t="s">
        <v>12</v>
      </c>
    </row>
    <row r="27" spans="1:9" x14ac:dyDescent="0.25">
      <c r="A27" s="44"/>
      <c r="B27" s="44"/>
      <c r="C27" s="44" t="s">
        <v>12</v>
      </c>
      <c r="D27" s="112"/>
      <c r="E27" s="112"/>
      <c r="F27" s="112"/>
      <c r="G27" s="112"/>
      <c r="H27" s="112"/>
      <c r="I27" s="112"/>
    </row>
    <row r="28" spans="1:9" x14ac:dyDescent="0.25">
      <c r="A28" s="44"/>
      <c r="B28" s="44"/>
      <c r="C28" s="44"/>
      <c r="D28" s="112"/>
      <c r="E28" s="112"/>
      <c r="F28" s="112"/>
      <c r="G28" s="112"/>
      <c r="H28" s="112"/>
      <c r="I28" s="112"/>
    </row>
    <row r="29" spans="1:9" x14ac:dyDescent="0.25">
      <c r="A29" s="44"/>
      <c r="B29" s="44"/>
      <c r="C29" s="44"/>
      <c r="D29" s="112"/>
      <c r="E29" s="112"/>
      <c r="F29" s="112" t="s">
        <v>440</v>
      </c>
      <c r="G29" s="112"/>
      <c r="H29" s="112"/>
      <c r="I29" s="112" t="s">
        <v>12</v>
      </c>
    </row>
    <row r="30" spans="1:9" x14ac:dyDescent="0.25">
      <c r="A30" s="44"/>
      <c r="B30" s="44"/>
      <c r="C30" s="44"/>
      <c r="D30" s="112"/>
      <c r="E30" s="112"/>
      <c r="F30" s="112"/>
      <c r="G30" s="112"/>
      <c r="H30" s="112"/>
      <c r="I30" s="112"/>
    </row>
    <row r="31" spans="1:9" x14ac:dyDescent="0.25">
      <c r="A31" s="44"/>
      <c r="B31" s="44"/>
      <c r="C31" s="44"/>
      <c r="D31" s="112"/>
      <c r="E31" s="112"/>
      <c r="F31" s="112"/>
      <c r="G31" s="112"/>
      <c r="H31" s="112"/>
      <c r="I31" s="112"/>
    </row>
    <row r="32" spans="1:9" x14ac:dyDescent="0.25">
      <c r="A32" s="44"/>
      <c r="B32" s="44"/>
      <c r="C32" s="44"/>
      <c r="D32" s="112"/>
      <c r="E32" s="112"/>
      <c r="F32" s="112"/>
      <c r="G32" s="112"/>
      <c r="H32" s="112"/>
      <c r="I32" s="112"/>
    </row>
    <row r="33" spans="1:9" x14ac:dyDescent="0.25">
      <c r="A33" s="44"/>
      <c r="B33" s="44"/>
      <c r="C33" s="44"/>
      <c r="D33" s="112"/>
      <c r="E33" s="112"/>
      <c r="F33" s="112"/>
      <c r="G33" s="112"/>
      <c r="H33" s="112"/>
      <c r="I33" s="112"/>
    </row>
    <row r="34" spans="1:9" x14ac:dyDescent="0.25">
      <c r="A34" s="44"/>
      <c r="B34" s="44"/>
      <c r="C34" s="44"/>
      <c r="D34" s="112"/>
      <c r="E34" s="112"/>
      <c r="F34" s="112"/>
      <c r="G34" s="112"/>
      <c r="H34" s="112"/>
      <c r="I34" s="112"/>
    </row>
    <row r="35" spans="1:9" x14ac:dyDescent="0.25">
      <c r="A35" s="44"/>
      <c r="B35" s="44"/>
      <c r="C35" s="44"/>
      <c r="D35" s="112"/>
      <c r="E35" s="112"/>
      <c r="F35" s="112"/>
      <c r="G35" s="112"/>
      <c r="H35" s="112"/>
      <c r="I35" s="112"/>
    </row>
    <row r="36" spans="1:9" x14ac:dyDescent="0.25">
      <c r="A36" s="44"/>
      <c r="B36" s="44"/>
      <c r="C36" s="44"/>
      <c r="D36" s="112"/>
      <c r="E36" s="112"/>
      <c r="F36" s="112"/>
      <c r="G36" s="112"/>
      <c r="H36" s="112"/>
      <c r="I36" s="112"/>
    </row>
    <row r="37" spans="1:9" x14ac:dyDescent="0.25">
      <c r="A37" s="44"/>
      <c r="B37" s="44"/>
      <c r="C37" s="44"/>
      <c r="D37" s="112"/>
      <c r="E37" s="112"/>
      <c r="F37" s="112"/>
      <c r="G37" s="112"/>
      <c r="H37" s="112"/>
      <c r="I37" s="112"/>
    </row>
    <row r="38" spans="1:9" x14ac:dyDescent="0.25">
      <c r="A38" s="44"/>
      <c r="B38" s="44"/>
      <c r="C38" s="44"/>
      <c r="D38" s="112"/>
      <c r="E38" s="112"/>
      <c r="F38" s="112"/>
      <c r="G38" s="112"/>
      <c r="H38" s="112"/>
      <c r="I38" s="112"/>
    </row>
    <row r="39" spans="1:9" x14ac:dyDescent="0.25">
      <c r="A39" s="44"/>
      <c r="B39" s="44"/>
      <c r="C39" s="44"/>
      <c r="D39" s="112"/>
      <c r="E39" s="112"/>
      <c r="F39" s="112"/>
      <c r="G39" s="112"/>
      <c r="H39" s="112"/>
      <c r="I39" s="112"/>
    </row>
    <row r="40" spans="1:9" x14ac:dyDescent="0.25">
      <c r="A40" s="44"/>
      <c r="B40" s="44"/>
      <c r="C40" s="44"/>
      <c r="D40" s="112"/>
      <c r="E40" s="112"/>
      <c r="F40" s="112"/>
      <c r="G40" s="112"/>
      <c r="H40" s="112"/>
      <c r="I40" s="112"/>
    </row>
    <row r="41" spans="1:9" x14ac:dyDescent="0.25">
      <c r="A41" s="44"/>
      <c r="B41" s="44"/>
      <c r="C41" s="44"/>
      <c r="D41" s="112"/>
      <c r="E41" s="112"/>
      <c r="F41" s="112"/>
      <c r="G41" s="112"/>
      <c r="H41" s="112"/>
      <c r="I41" s="112"/>
    </row>
    <row r="42" spans="1:9" x14ac:dyDescent="0.25">
      <c r="A42" s="44"/>
      <c r="B42" s="44"/>
      <c r="C42" s="44"/>
      <c r="D42" s="112"/>
      <c r="E42" s="112"/>
      <c r="F42" s="112"/>
      <c r="G42" s="112"/>
      <c r="H42" s="112"/>
      <c r="I42" s="112"/>
    </row>
    <row r="43" spans="1:9" x14ac:dyDescent="0.25">
      <c r="A43" s="44"/>
      <c r="B43" s="44"/>
      <c r="C43" s="44"/>
      <c r="D43" s="112"/>
      <c r="E43" s="112"/>
      <c r="F43" s="112"/>
      <c r="G43" s="112"/>
      <c r="H43" s="112"/>
      <c r="I43" s="112"/>
    </row>
    <row r="44" spans="1:9" x14ac:dyDescent="0.25">
      <c r="A44" s="44"/>
      <c r="B44" s="44"/>
      <c r="C44" s="44"/>
      <c r="D44" s="112"/>
      <c r="E44" s="112"/>
      <c r="F44" s="112"/>
      <c r="G44" s="112"/>
      <c r="H44" s="112"/>
      <c r="I44" s="112"/>
    </row>
    <row r="45" spans="1:9" x14ac:dyDescent="0.25">
      <c r="A45" s="44"/>
      <c r="B45" s="44"/>
      <c r="C45" s="44"/>
      <c r="D45" s="112"/>
      <c r="E45" s="112"/>
      <c r="F45" s="112"/>
      <c r="G45" s="112"/>
      <c r="H45" s="112"/>
      <c r="I45" s="112"/>
    </row>
    <row r="46" spans="1:9" x14ac:dyDescent="0.25">
      <c r="A46" s="44"/>
      <c r="B46" s="44"/>
      <c r="C46" s="44"/>
      <c r="D46" s="112"/>
      <c r="E46" s="112"/>
      <c r="F46" s="112"/>
      <c r="G46" s="112"/>
      <c r="H46" s="112"/>
      <c r="I46" s="112"/>
    </row>
    <row r="47" spans="1:9" x14ac:dyDescent="0.25">
      <c r="A47" s="44"/>
      <c r="B47" s="44"/>
      <c r="C47" s="44"/>
      <c r="D47" s="112"/>
      <c r="E47" s="112"/>
      <c r="F47" s="112"/>
      <c r="G47" s="112"/>
      <c r="H47" s="112"/>
      <c r="I47" s="112"/>
    </row>
    <row r="48" spans="1:9" x14ac:dyDescent="0.25">
      <c r="A48" s="44"/>
      <c r="B48" s="44"/>
      <c r="C48" s="44"/>
      <c r="D48" s="112"/>
      <c r="E48" s="112"/>
      <c r="F48" s="112"/>
      <c r="G48" s="112"/>
      <c r="H48" s="112"/>
      <c r="I48" s="112"/>
    </row>
    <row r="49" spans="1:9" x14ac:dyDescent="0.25">
      <c r="A49" s="44"/>
      <c r="B49" s="44"/>
      <c r="C49" s="44"/>
      <c r="D49" s="112"/>
      <c r="E49" s="112"/>
      <c r="F49" s="112"/>
      <c r="G49" s="112"/>
      <c r="H49" s="112"/>
      <c r="I49" s="112"/>
    </row>
    <row r="50" spans="1:9" x14ac:dyDescent="0.25">
      <c r="A50" s="44"/>
      <c r="B50" s="44"/>
      <c r="C50" s="44"/>
      <c r="D50" s="112"/>
      <c r="E50" s="112"/>
      <c r="F50" s="112"/>
      <c r="G50" s="112"/>
      <c r="H50" s="112"/>
      <c r="I50" s="112"/>
    </row>
    <row r="51" spans="1:9" x14ac:dyDescent="0.25">
      <c r="A51" s="44"/>
      <c r="B51" s="44"/>
      <c r="C51" s="44"/>
      <c r="D51" s="112"/>
      <c r="E51" s="112"/>
      <c r="F51" s="112"/>
      <c r="G51" s="112"/>
      <c r="H51" s="112"/>
      <c r="I51" s="112"/>
    </row>
    <row r="52" spans="1:9" x14ac:dyDescent="0.25">
      <c r="A52" s="44"/>
      <c r="B52" s="44"/>
      <c r="C52" s="44"/>
      <c r="D52" s="112"/>
      <c r="E52" s="112"/>
      <c r="F52" s="112"/>
      <c r="G52" s="112"/>
      <c r="H52" s="112"/>
      <c r="I52" s="112"/>
    </row>
    <row r="53" spans="1:9" x14ac:dyDescent="0.25">
      <c r="A53" s="44"/>
      <c r="B53" s="44"/>
      <c r="C53" s="44"/>
      <c r="D53" s="112"/>
      <c r="E53" s="112"/>
      <c r="F53" s="112"/>
      <c r="G53" s="112"/>
      <c r="H53" s="112"/>
      <c r="I53" s="112"/>
    </row>
    <row r="54" spans="1:9" x14ac:dyDescent="0.25">
      <c r="A54" s="44"/>
      <c r="B54" s="44"/>
      <c r="C54" s="44"/>
      <c r="D54" s="112"/>
      <c r="E54" s="112"/>
      <c r="F54" s="112"/>
      <c r="G54" s="112"/>
      <c r="H54" s="112"/>
      <c r="I54" s="112"/>
    </row>
    <row r="55" spans="1:9" x14ac:dyDescent="0.25">
      <c r="A55" s="44"/>
      <c r="B55" s="44"/>
      <c r="C55" s="44"/>
      <c r="D55" s="112"/>
      <c r="E55" s="112"/>
      <c r="F55" s="112"/>
      <c r="G55" s="112"/>
      <c r="H55" s="112"/>
      <c r="I55" s="112"/>
    </row>
  </sheetData>
  <mergeCells count="12">
    <mergeCell ref="A1:I1"/>
    <mergeCell ref="A2:I2"/>
    <mergeCell ref="A3:I3"/>
    <mergeCell ref="A13:B15"/>
    <mergeCell ref="D13:D15"/>
    <mergeCell ref="F13:F15"/>
    <mergeCell ref="G13:G15"/>
    <mergeCell ref="H13:H15"/>
    <mergeCell ref="E13:E15"/>
    <mergeCell ref="D12:E12"/>
    <mergeCell ref="G12:I12"/>
    <mergeCell ref="I13:I15"/>
  </mergeCells>
  <phoneticPr fontId="0" type="noConversion"/>
  <hyperlinks>
    <hyperlink ref="B12" location="Contenido!A1" display="&lt;&lt;Contenido" xr:uid="{F06833D5-1978-442A-B9F4-2A46FB429FB4}"/>
  </hyperlinks>
  <printOptions horizontalCentered="1"/>
  <pageMargins left="0.78740157480314965" right="0.78740157480314965" top="0.98425196850393704" bottom="0.98425196850393704" header="0" footer="0.39370078740157483"/>
  <pageSetup scale="80" orientation="landscape" verticalDpi="200" r:id="rId1"/>
  <headerFooter alignWithMargins="0">
    <oddFooter>&amp;R&amp;10 3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4542-EC49-4542-8B56-90D0EA48B287}">
  <sheetPr codeName="Hoja3"/>
  <dimension ref="A1:J36"/>
  <sheetViews>
    <sheetView showGridLines="0" topLeftCell="A4" zoomScaleNormal="100" workbookViewId="0">
      <selection activeCell="J11" sqref="J11"/>
    </sheetView>
  </sheetViews>
  <sheetFormatPr defaultColWidth="8.90625" defaultRowHeight="15.6" outlineLevelRow="1" outlineLevelCol="1" x14ac:dyDescent="0.3"/>
  <cols>
    <col min="1" max="1" width="26.36328125" bestFit="1" customWidth="1"/>
    <col min="2" max="2" width="6.6328125" bestFit="1" customWidth="1"/>
    <col min="3" max="5" width="6.1796875" bestFit="1" customWidth="1"/>
    <col min="6" max="6" width="1.08984375" bestFit="1" customWidth="1"/>
    <col min="7" max="7" width="16.453125" bestFit="1" customWidth="1" outlineLevel="1"/>
    <col min="8" max="9" width="4.54296875" bestFit="1" customWidth="1" outlineLevel="1"/>
  </cols>
  <sheetData>
    <row r="1" spans="1:10" x14ac:dyDescent="0.3">
      <c r="A1" s="319" t="str">
        <f>Revenue!A1:H1</f>
        <v>Company  Suquimsa</v>
      </c>
      <c r="B1" s="319"/>
      <c r="C1" s="319"/>
      <c r="D1" s="319"/>
      <c r="E1" s="319"/>
      <c r="F1" s="25"/>
      <c r="G1" s="25"/>
      <c r="H1" s="25"/>
      <c r="I1" s="25"/>
      <c r="J1" s="24"/>
    </row>
    <row r="2" spans="1:10" x14ac:dyDescent="0.3">
      <c r="A2" s="319" t="s">
        <v>136</v>
      </c>
      <c r="B2" s="319"/>
      <c r="C2" s="319"/>
      <c r="D2" s="319"/>
      <c r="E2" s="319"/>
      <c r="F2" s="25"/>
      <c r="G2" s="25"/>
      <c r="H2" s="25"/>
      <c r="I2" s="25"/>
      <c r="J2" s="24"/>
    </row>
    <row r="3" spans="1:10" x14ac:dyDescent="0.3">
      <c r="A3" s="319" t="s">
        <v>221</v>
      </c>
      <c r="B3" s="319"/>
      <c r="C3" s="319"/>
      <c r="D3" s="319"/>
      <c r="E3" s="319"/>
      <c r="F3" s="25"/>
      <c r="G3" s="25"/>
      <c r="H3" s="25"/>
      <c r="I3" s="25"/>
      <c r="J3" s="24"/>
    </row>
    <row r="4" spans="1:10" x14ac:dyDescent="0.3">
      <c r="A4" s="27"/>
      <c r="B4" s="26"/>
      <c r="C4" s="26"/>
      <c r="D4" s="26"/>
      <c r="E4" s="26"/>
      <c r="F4" s="26"/>
      <c r="G4" s="26"/>
      <c r="H4" s="26"/>
      <c r="I4" s="26"/>
      <c r="J4" s="44"/>
    </row>
    <row r="5" spans="1:10" x14ac:dyDescent="0.3">
      <c r="A5" s="133" t="s">
        <v>58</v>
      </c>
      <c r="B5" s="110" t="s">
        <v>106</v>
      </c>
      <c r="C5" s="325" t="s">
        <v>183</v>
      </c>
      <c r="D5" s="325"/>
      <c r="E5" s="325"/>
      <c r="F5" s="26"/>
      <c r="G5" s="26" t="s">
        <v>234</v>
      </c>
      <c r="H5" s="26"/>
      <c r="I5" s="26"/>
      <c r="J5" s="26"/>
    </row>
    <row r="6" spans="1:10" x14ac:dyDescent="0.3">
      <c r="A6" s="26"/>
      <c r="B6" s="113">
        <v>2013</v>
      </c>
      <c r="C6" s="113">
        <f>B6+1</f>
        <v>2014</v>
      </c>
      <c r="D6" s="113">
        <f>C6+1</f>
        <v>2015</v>
      </c>
      <c r="E6" s="113">
        <f>D6+1</f>
        <v>2016</v>
      </c>
      <c r="F6" s="26"/>
      <c r="G6" s="134">
        <v>2014</v>
      </c>
      <c r="H6" s="134">
        <f>G6+1</f>
        <v>2015</v>
      </c>
      <c r="I6" s="134">
        <f>H6+1</f>
        <v>2016</v>
      </c>
      <c r="J6" s="26"/>
    </row>
    <row r="7" spans="1:10" x14ac:dyDescent="0.3">
      <c r="A7" s="104" t="s">
        <v>235</v>
      </c>
      <c r="B7" s="135">
        <f>SUM(B8:B10)</f>
        <v>387744.33999999997</v>
      </c>
      <c r="C7" s="135">
        <f>SUM(C8:C10)</f>
        <v>426518.77400000003</v>
      </c>
      <c r="D7" s="135">
        <f>SUM(D8:D10)</f>
        <v>452109.90044</v>
      </c>
      <c r="E7" s="135">
        <f>SUM(E8:E10)</f>
        <v>465673.1974532</v>
      </c>
      <c r="F7" s="26"/>
      <c r="G7" s="136">
        <f>C7/B7-1</f>
        <v>0.10000000000000009</v>
      </c>
      <c r="H7" s="136">
        <f>D7/C7-1</f>
        <v>5.9999999999999831E-2</v>
      </c>
      <c r="I7" s="136">
        <f>E7/D7-1</f>
        <v>3.0000000000000027E-2</v>
      </c>
      <c r="J7" s="26"/>
    </row>
    <row r="8" spans="1:10" hidden="1" outlineLevel="1" x14ac:dyDescent="0.3">
      <c r="A8" s="137" t="s">
        <v>236</v>
      </c>
      <c r="B8" s="130">
        <f>VLOOKUP(A8,'Income Data - 12 Period'!$A$25:$N$76,14,FALSE)</f>
        <v>133912.87</v>
      </c>
      <c r="C8" s="130">
        <f t="shared" ref="C8:E10" si="0">B8*(1+G8)</f>
        <v>147304.15700000001</v>
      </c>
      <c r="D8" s="130">
        <f t="shared" si="0"/>
        <v>156142.40642000001</v>
      </c>
      <c r="E8" s="130">
        <f t="shared" si="0"/>
        <v>160826.67861260002</v>
      </c>
      <c r="F8" s="26"/>
      <c r="G8" s="138">
        <v>0.1</v>
      </c>
      <c r="H8" s="138">
        <v>0.06</v>
      </c>
      <c r="I8" s="138">
        <v>0.03</v>
      </c>
      <c r="J8" s="26"/>
    </row>
    <row r="9" spans="1:10" hidden="1" outlineLevel="1" x14ac:dyDescent="0.3">
      <c r="A9" s="137" t="s">
        <v>108</v>
      </c>
      <c r="B9" s="130">
        <f>SUM('Income Data - 12 Period'!N26:N34)</f>
        <v>203168.64999999997</v>
      </c>
      <c r="C9" s="130">
        <f t="shared" si="0"/>
        <v>223485.51499999998</v>
      </c>
      <c r="D9" s="130">
        <f t="shared" si="0"/>
        <v>236894.6459</v>
      </c>
      <c r="E9" s="130">
        <f t="shared" si="0"/>
        <v>244001.485277</v>
      </c>
      <c r="F9" s="26"/>
      <c r="G9" s="138">
        <v>0.1</v>
      </c>
      <c r="H9" s="138">
        <v>0.06</v>
      </c>
      <c r="I9" s="138">
        <v>0.03</v>
      </c>
      <c r="J9" s="26"/>
    </row>
    <row r="10" spans="1:10" hidden="1" outlineLevel="1" x14ac:dyDescent="0.3">
      <c r="A10" s="26" t="s">
        <v>68</v>
      </c>
      <c r="B10" s="130">
        <f>VLOOKUP(A10,'Income Data - 12 Period'!$A$25:$N$76,14,FALSE)</f>
        <v>50662.82</v>
      </c>
      <c r="C10" s="130">
        <f t="shared" si="0"/>
        <v>55729.102000000006</v>
      </c>
      <c r="D10" s="130">
        <f t="shared" si="0"/>
        <v>59072.84812000001</v>
      </c>
      <c r="E10" s="130">
        <f t="shared" si="0"/>
        <v>60845.033563600009</v>
      </c>
      <c r="F10" s="26"/>
      <c r="G10" s="138">
        <v>0.1</v>
      </c>
      <c r="H10" s="138">
        <v>0.06</v>
      </c>
      <c r="I10" s="138">
        <v>0.03</v>
      </c>
      <c r="J10" s="26"/>
    </row>
    <row r="11" spans="1:10" collapsed="1" x14ac:dyDescent="0.3">
      <c r="A11" s="104" t="s">
        <v>237</v>
      </c>
      <c r="B11" s="135">
        <f>SUM(B12:B22)</f>
        <v>152095.91999999998</v>
      </c>
      <c r="C11" s="135">
        <f>SUM(C12:C22)</f>
        <v>155496.11239999998</v>
      </c>
      <c r="D11" s="135">
        <f>SUM(D12:D22)</f>
        <v>164307.81221</v>
      </c>
      <c r="E11" s="135">
        <f>SUM(E12:E22)</f>
        <v>170483.45433360001</v>
      </c>
      <c r="F11" s="26"/>
      <c r="G11" s="136">
        <f>C11/B11-1</f>
        <v>2.2355579294960792E-2</v>
      </c>
      <c r="H11" s="136">
        <f>D11/C11-1</f>
        <v>5.6668296550930419E-2</v>
      </c>
      <c r="I11" s="136">
        <f>E11/D11-1</f>
        <v>3.758580946660639E-2</v>
      </c>
      <c r="J11" s="26"/>
    </row>
    <row r="12" spans="1:10" hidden="1" outlineLevel="1" x14ac:dyDescent="0.3">
      <c r="A12" s="26" t="s">
        <v>67</v>
      </c>
      <c r="B12" s="130">
        <f>'Income Data - 12 Period'!N43+'Income Data - 12 Period'!N68</f>
        <v>1490.99</v>
      </c>
      <c r="C12" s="130">
        <f t="shared" ref="C12:C22" si="1">B12*(1+G12)</f>
        <v>1565.5395000000001</v>
      </c>
      <c r="D12" s="130">
        <f t="shared" ref="D12:D22" si="2">C12*(1+H12)</f>
        <v>1612.5056850000001</v>
      </c>
      <c r="E12" s="130">
        <f t="shared" ref="E12:E22" si="3">D12*(1+I12)</f>
        <v>1628.63074185</v>
      </c>
      <c r="F12" s="26"/>
      <c r="G12" s="138">
        <v>0.05</v>
      </c>
      <c r="H12" s="138">
        <f>G12-2%</f>
        <v>3.0000000000000002E-2</v>
      </c>
      <c r="I12" s="138">
        <f>H12-2%</f>
        <v>1.0000000000000002E-2</v>
      </c>
      <c r="J12" s="26"/>
    </row>
    <row r="13" spans="1:10" hidden="1" outlineLevel="1" x14ac:dyDescent="0.3">
      <c r="A13" s="26" t="s">
        <v>238</v>
      </c>
      <c r="B13" s="130">
        <f>VLOOKUP(A13,'Income Data - 12 Period'!$A$25:$N$76,14,FALSE)</f>
        <v>23737.769999999997</v>
      </c>
      <c r="C13" s="130">
        <f t="shared" si="1"/>
        <v>25399.4139</v>
      </c>
      <c r="D13" s="130">
        <f t="shared" si="2"/>
        <v>26669.384595</v>
      </c>
      <c r="E13" s="130">
        <f t="shared" si="3"/>
        <v>27469.466132850001</v>
      </c>
      <c r="F13" s="26"/>
      <c r="G13" s="138">
        <v>7.0000000000000007E-2</v>
      </c>
      <c r="H13" s="138">
        <f t="shared" ref="H13:I22" si="4">G13-2%</f>
        <v>0.05</v>
      </c>
      <c r="I13" s="138">
        <f t="shared" si="4"/>
        <v>3.0000000000000002E-2</v>
      </c>
      <c r="J13" s="26"/>
    </row>
    <row r="14" spans="1:10" hidden="1" outlineLevel="1" x14ac:dyDescent="0.3">
      <c r="A14" s="26" t="s">
        <v>239</v>
      </c>
      <c r="B14" s="130">
        <f>'Income Data - 12 Period'!N58+'Income Data - 12 Period'!N59</f>
        <v>18106.75</v>
      </c>
      <c r="C14" s="130">
        <f t="shared" si="1"/>
        <v>19012.087500000001</v>
      </c>
      <c r="D14" s="130">
        <f t="shared" si="2"/>
        <v>19582.450125000003</v>
      </c>
      <c r="E14" s="130">
        <f t="shared" si="3"/>
        <v>19778.274626250004</v>
      </c>
      <c r="F14" s="26" t="s">
        <v>12</v>
      </c>
      <c r="G14" s="138">
        <v>0.05</v>
      </c>
      <c r="H14" s="138">
        <f t="shared" si="4"/>
        <v>3.0000000000000002E-2</v>
      </c>
      <c r="I14" s="138">
        <f t="shared" si="4"/>
        <v>1.0000000000000002E-2</v>
      </c>
      <c r="J14" s="26"/>
    </row>
    <row r="15" spans="1:10" hidden="1" outlineLevel="1" x14ac:dyDescent="0.3">
      <c r="A15" s="26" t="s">
        <v>139</v>
      </c>
      <c r="B15" s="130">
        <f>VLOOKUP(A15,'Income Data - 12 Period'!$A$25:$N$76,14,FALSE)</f>
        <v>385.4</v>
      </c>
      <c r="C15" s="130">
        <f t="shared" si="1"/>
        <v>396.96199999999999</v>
      </c>
      <c r="D15" s="130">
        <f t="shared" si="2"/>
        <v>400.93162000000001</v>
      </c>
      <c r="E15" s="130">
        <f t="shared" si="3"/>
        <v>396.92230380000001</v>
      </c>
      <c r="F15" s="26" t="s">
        <v>12</v>
      </c>
      <c r="G15" s="138">
        <v>0.03</v>
      </c>
      <c r="H15" s="138">
        <f t="shared" si="4"/>
        <v>9.9999999999999985E-3</v>
      </c>
      <c r="I15" s="138">
        <f t="shared" si="4"/>
        <v>-1.0000000000000002E-2</v>
      </c>
      <c r="J15" s="26"/>
    </row>
    <row r="16" spans="1:10" hidden="1" outlineLevel="1" x14ac:dyDescent="0.3">
      <c r="A16" s="26" t="s">
        <v>162</v>
      </c>
      <c r="B16" s="130">
        <f>VLOOKUP(A16,'Income Data - 12 Period'!$A$25:$N$76,14,FALSE)</f>
        <v>3617.5599999999995</v>
      </c>
      <c r="C16" s="130">
        <f t="shared" si="1"/>
        <v>3798.4379999999996</v>
      </c>
      <c r="D16" s="130">
        <f t="shared" si="2"/>
        <v>3912.3911399999997</v>
      </c>
      <c r="E16" s="130">
        <f t="shared" si="3"/>
        <v>3951.5150513999997</v>
      </c>
      <c r="F16" s="26"/>
      <c r="G16" s="138">
        <v>0.05</v>
      </c>
      <c r="H16" s="138">
        <f t="shared" si="4"/>
        <v>3.0000000000000002E-2</v>
      </c>
      <c r="I16" s="138">
        <f t="shared" si="4"/>
        <v>1.0000000000000002E-2</v>
      </c>
      <c r="J16" s="26"/>
    </row>
    <row r="17" spans="1:10" hidden="1" outlineLevel="1" x14ac:dyDescent="0.3">
      <c r="A17" s="26" t="s">
        <v>163</v>
      </c>
      <c r="B17" s="130">
        <f>VLOOKUP(A17,'Income Data - 12 Period'!$A$25:$N$76,14,FALSE)</f>
        <v>3938.2700000000004</v>
      </c>
      <c r="C17" s="130">
        <f>B17*(1+G17)</f>
        <v>4135.183500000001</v>
      </c>
      <c r="D17" s="130">
        <f>C17*(1+H17)</f>
        <v>4259.2390050000013</v>
      </c>
      <c r="E17" s="130">
        <f>D17*(1+I17)</f>
        <v>4301.8313950500014</v>
      </c>
      <c r="F17" s="26"/>
      <c r="G17" s="138">
        <v>0.05</v>
      </c>
      <c r="H17" s="138">
        <f t="shared" si="4"/>
        <v>3.0000000000000002E-2</v>
      </c>
      <c r="I17" s="138">
        <f t="shared" si="4"/>
        <v>1.0000000000000002E-2</v>
      </c>
      <c r="J17" s="26"/>
    </row>
    <row r="18" spans="1:10" hidden="1" outlineLevel="1" x14ac:dyDescent="0.3">
      <c r="A18" s="26" t="s">
        <v>194</v>
      </c>
      <c r="B18" s="130">
        <f>VLOOKUP(A18,'Income Data - 12 Period'!$A$25:$N$76,14,FALSE)</f>
        <v>900</v>
      </c>
      <c r="C18" s="130">
        <f t="shared" si="1"/>
        <v>927</v>
      </c>
      <c r="D18" s="130">
        <f t="shared" si="2"/>
        <v>936.27</v>
      </c>
      <c r="E18" s="130">
        <f t="shared" si="3"/>
        <v>926.90729999999996</v>
      </c>
      <c r="F18" s="26" t="s">
        <v>12</v>
      </c>
      <c r="G18" s="138">
        <v>0.03</v>
      </c>
      <c r="H18" s="138">
        <f t="shared" si="4"/>
        <v>9.9999999999999985E-3</v>
      </c>
      <c r="I18" s="138">
        <f t="shared" si="4"/>
        <v>-1.0000000000000002E-2</v>
      </c>
      <c r="J18" s="26"/>
    </row>
    <row r="19" spans="1:10" hidden="1" outlineLevel="1" x14ac:dyDescent="0.3">
      <c r="A19" s="139" t="s">
        <v>240</v>
      </c>
      <c r="B19" s="130">
        <f>VLOOKUP(A19,'Income Data - 12 Period'!$A$25:$N$76,14,FALSE)</f>
        <v>6932.23</v>
      </c>
      <c r="C19" s="130">
        <v>0</v>
      </c>
      <c r="D19" s="130">
        <f>C19*(1+H19)</f>
        <v>0</v>
      </c>
      <c r="E19" s="130">
        <f>D19*(1+I19)</f>
        <v>0</v>
      </c>
      <c r="F19" s="26"/>
      <c r="G19" s="138">
        <v>0</v>
      </c>
      <c r="H19" s="138">
        <f t="shared" si="4"/>
        <v>-0.02</v>
      </c>
      <c r="I19" s="138">
        <f t="shared" si="4"/>
        <v>-0.04</v>
      </c>
      <c r="J19" s="26"/>
    </row>
    <row r="20" spans="1:10" hidden="1" outlineLevel="1" x14ac:dyDescent="0.3">
      <c r="A20" s="139" t="s">
        <v>241</v>
      </c>
      <c r="B20" s="130">
        <f>VLOOKUP(A20,'Income Data - 12 Period'!$A$25:$N$76,14,FALSE)</f>
        <v>614.9</v>
      </c>
      <c r="C20" s="130">
        <v>0</v>
      </c>
      <c r="D20" s="130">
        <f t="shared" si="2"/>
        <v>0</v>
      </c>
      <c r="E20" s="130">
        <f t="shared" si="3"/>
        <v>0</v>
      </c>
      <c r="F20" s="26"/>
      <c r="G20" s="138">
        <v>0</v>
      </c>
      <c r="H20" s="138">
        <f t="shared" si="4"/>
        <v>-0.02</v>
      </c>
      <c r="I20" s="138">
        <f t="shared" si="4"/>
        <v>-0.04</v>
      </c>
      <c r="J20" s="26"/>
    </row>
    <row r="21" spans="1:10" hidden="1" outlineLevel="1" x14ac:dyDescent="0.3">
      <c r="A21" s="139" t="s">
        <v>242</v>
      </c>
      <c r="B21" s="130">
        <f>VLOOKUP(A21,'Income Data - 12 Period'!$A$25:$N$76,14,FALSE)</f>
        <v>13477.67</v>
      </c>
      <c r="C21" s="130">
        <f t="shared" si="1"/>
        <v>13477.67</v>
      </c>
      <c r="D21" s="130">
        <f t="shared" si="2"/>
        <v>13208.116599999999</v>
      </c>
      <c r="E21" s="130">
        <f t="shared" si="3"/>
        <v>12679.791936</v>
      </c>
      <c r="F21" s="26"/>
      <c r="G21" s="138">
        <v>0</v>
      </c>
      <c r="H21" s="138">
        <f t="shared" si="4"/>
        <v>-0.02</v>
      </c>
      <c r="I21" s="138">
        <f t="shared" si="4"/>
        <v>-0.04</v>
      </c>
      <c r="J21" s="26"/>
    </row>
    <row r="22" spans="1:10" hidden="1" outlineLevel="1" x14ac:dyDescent="0.3">
      <c r="A22" s="139" t="s">
        <v>243</v>
      </c>
      <c r="B22" s="130">
        <f>VLOOKUP(A22,'Income Data - 12 Period'!$A$25:$N$76,14,FALSE)</f>
        <v>78894.37999999999</v>
      </c>
      <c r="C22" s="130">
        <f t="shared" si="1"/>
        <v>86783.817999999999</v>
      </c>
      <c r="D22" s="130">
        <f t="shared" si="2"/>
        <v>93726.523440000004</v>
      </c>
      <c r="E22" s="130">
        <f t="shared" si="3"/>
        <v>99350.114846400014</v>
      </c>
      <c r="F22" s="26"/>
      <c r="G22" s="138">
        <v>0.1</v>
      </c>
      <c r="H22" s="138">
        <f t="shared" si="4"/>
        <v>0.08</v>
      </c>
      <c r="I22" s="138">
        <f t="shared" si="4"/>
        <v>0.06</v>
      </c>
      <c r="J22" s="26"/>
    </row>
    <row r="23" spans="1:10" collapsed="1" x14ac:dyDescent="0.3">
      <c r="A23" s="104" t="s">
        <v>244</v>
      </c>
      <c r="B23" s="135">
        <f>SUM(B24:B26)</f>
        <v>3425.64</v>
      </c>
      <c r="C23" s="135">
        <f>SUM(C24:C26)</f>
        <v>2047.9095</v>
      </c>
      <c r="D23" s="135">
        <f>SUM(D24:D26)</f>
        <v>2150.304975</v>
      </c>
      <c r="E23" s="135">
        <f>SUM(E24:E26)</f>
        <v>2257.82022375</v>
      </c>
      <c r="F23" s="26"/>
      <c r="G23" s="136">
        <f>C23/B23-1</f>
        <v>-0.40218192804848141</v>
      </c>
      <c r="H23" s="136">
        <f>D23/C23-1</f>
        <v>5.0000000000000044E-2</v>
      </c>
      <c r="I23" s="136">
        <f>E23/D23-1</f>
        <v>5.0000000000000044E-2</v>
      </c>
      <c r="J23" s="26"/>
    </row>
    <row r="24" spans="1:10" hidden="1" outlineLevel="1" x14ac:dyDescent="0.3">
      <c r="A24" s="139" t="s">
        <v>245</v>
      </c>
      <c r="B24" s="130">
        <f>VLOOKUP(A24,'Income Data - 12 Period'!$A$25:$N$76,14,FALSE)</f>
        <v>1950.3899999999999</v>
      </c>
      <c r="C24" s="130">
        <f t="shared" ref="C24:E26" si="5">B24*(1+G24)</f>
        <v>2047.9095</v>
      </c>
      <c r="D24" s="130">
        <f t="shared" si="5"/>
        <v>2150.304975</v>
      </c>
      <c r="E24" s="130">
        <f t="shared" si="5"/>
        <v>2257.82022375</v>
      </c>
      <c r="F24" s="26"/>
      <c r="G24" s="138">
        <v>0.05</v>
      </c>
      <c r="H24" s="138">
        <f t="shared" ref="H24:I26" si="6">G24</f>
        <v>0.05</v>
      </c>
      <c r="I24" s="138">
        <f t="shared" si="6"/>
        <v>0.05</v>
      </c>
      <c r="J24" s="26"/>
    </row>
    <row r="25" spans="1:10" hidden="1" outlineLevel="1" x14ac:dyDescent="0.3">
      <c r="A25" s="139" t="s">
        <v>246</v>
      </c>
      <c r="B25" s="130">
        <f>VLOOKUP(A25,'Income Data - 12 Period'!$A$25:$N$76,14,FALSE)</f>
        <v>645</v>
      </c>
      <c r="C25" s="130">
        <v>0</v>
      </c>
      <c r="D25" s="130">
        <f t="shared" si="5"/>
        <v>0</v>
      </c>
      <c r="E25" s="130">
        <f t="shared" si="5"/>
        <v>0</v>
      </c>
      <c r="F25" s="26"/>
      <c r="G25" s="138">
        <v>0</v>
      </c>
      <c r="H25" s="138">
        <f t="shared" si="6"/>
        <v>0</v>
      </c>
      <c r="I25" s="138">
        <f t="shared" si="6"/>
        <v>0</v>
      </c>
      <c r="J25" s="26"/>
    </row>
    <row r="26" spans="1:10" hidden="1" outlineLevel="1" x14ac:dyDescent="0.3">
      <c r="A26" s="139" t="s">
        <v>145</v>
      </c>
      <c r="B26" s="130">
        <f>VLOOKUP(A26,'Income Data - 12 Period'!$A$25:$N$76,14,FALSE)</f>
        <v>830.25</v>
      </c>
      <c r="C26" s="130">
        <v>0</v>
      </c>
      <c r="D26" s="130">
        <f t="shared" si="5"/>
        <v>0</v>
      </c>
      <c r="E26" s="130">
        <f t="shared" si="5"/>
        <v>0</v>
      </c>
      <c r="F26" s="26"/>
      <c r="G26" s="138">
        <v>0</v>
      </c>
      <c r="H26" s="138">
        <f t="shared" si="6"/>
        <v>0</v>
      </c>
      <c r="I26" s="138">
        <f t="shared" si="6"/>
        <v>0</v>
      </c>
      <c r="J26" s="26"/>
    </row>
    <row r="27" spans="1:10" collapsed="1" x14ac:dyDescent="0.3">
      <c r="A27" s="104" t="s">
        <v>247</v>
      </c>
      <c r="B27" s="135">
        <f>SUM(B28:B30)</f>
        <v>13569.61</v>
      </c>
      <c r="C27" s="135">
        <f>SUM(C28:C30)</f>
        <v>13054.741</v>
      </c>
      <c r="D27" s="135">
        <f>SUM(D28:D30)</f>
        <v>12565.615449999999</v>
      </c>
      <c r="E27" s="135">
        <f>SUM(E28:E30)</f>
        <v>12100.946177499998</v>
      </c>
      <c r="F27" s="26"/>
      <c r="G27" s="136">
        <f>C27/B27-1</f>
        <v>-3.7942800124690423E-2</v>
      </c>
      <c r="H27" s="136">
        <f>D27/C27-1</f>
        <v>-3.7467273383669619E-2</v>
      </c>
      <c r="I27" s="136">
        <f>E27/D27-1</f>
        <v>-3.6979428054994434E-2</v>
      </c>
      <c r="J27" s="26"/>
    </row>
    <row r="28" spans="1:10" outlineLevel="1" x14ac:dyDescent="0.3">
      <c r="A28" s="139" t="s">
        <v>248</v>
      </c>
      <c r="B28" s="130">
        <f>VLOOKUP(A28,'Income Data - 12 Period'!$A$25:$N$76,14,FALSE)</f>
        <v>1164.9399999999998</v>
      </c>
      <c r="C28" s="130">
        <f t="shared" ref="C28:E30" si="7">B28*(1+G28)</f>
        <v>1164.9399999999998</v>
      </c>
      <c r="D28" s="130">
        <f t="shared" si="7"/>
        <v>1164.9399999999998</v>
      </c>
      <c r="E28" s="130">
        <f t="shared" si="7"/>
        <v>1164.9399999999998</v>
      </c>
      <c r="F28" s="26"/>
      <c r="G28" s="138">
        <v>0</v>
      </c>
      <c r="H28" s="138">
        <f t="shared" ref="H28:I30" si="8">G28</f>
        <v>0</v>
      </c>
      <c r="I28" s="138">
        <f t="shared" si="8"/>
        <v>0</v>
      </c>
      <c r="J28" s="26"/>
    </row>
    <row r="29" spans="1:10" outlineLevel="1" x14ac:dyDescent="0.3">
      <c r="A29" s="139" t="s">
        <v>249</v>
      </c>
      <c r="B29" s="130">
        <f>VLOOKUP(A29,'Income Data - 12 Period'!$A$25:$N$76,14,FALSE)</f>
        <v>2107.29</v>
      </c>
      <c r="C29" s="130">
        <f t="shared" si="7"/>
        <v>2107.29</v>
      </c>
      <c r="D29" s="130">
        <f t="shared" si="7"/>
        <v>2107.29</v>
      </c>
      <c r="E29" s="130">
        <f t="shared" si="7"/>
        <v>2107.29</v>
      </c>
      <c r="F29" s="26"/>
      <c r="G29" s="138">
        <v>0</v>
      </c>
      <c r="H29" s="138">
        <f t="shared" si="8"/>
        <v>0</v>
      </c>
      <c r="I29" s="138">
        <f t="shared" si="8"/>
        <v>0</v>
      </c>
      <c r="J29" s="26"/>
    </row>
    <row r="30" spans="1:10" outlineLevel="1" x14ac:dyDescent="0.3">
      <c r="A30" s="140" t="s">
        <v>250</v>
      </c>
      <c r="B30" s="141">
        <f>VLOOKUP(A30,'Income Data - 12 Period'!$A$25:$N$76,14,FALSE)</f>
        <v>10297.380000000001</v>
      </c>
      <c r="C30" s="141">
        <f t="shared" si="7"/>
        <v>9782.5110000000004</v>
      </c>
      <c r="D30" s="141">
        <f t="shared" si="7"/>
        <v>9293.3854499999998</v>
      </c>
      <c r="E30" s="141">
        <f t="shared" si="7"/>
        <v>8828.7161774999986</v>
      </c>
      <c r="F30" s="26"/>
      <c r="G30" s="138">
        <v>-0.05</v>
      </c>
      <c r="H30" s="138">
        <f t="shared" si="8"/>
        <v>-0.05</v>
      </c>
      <c r="I30" s="138">
        <f t="shared" si="8"/>
        <v>-0.05</v>
      </c>
      <c r="J30" s="26"/>
    </row>
    <row r="31" spans="1:10" x14ac:dyDescent="0.3">
      <c r="A31" s="104" t="s">
        <v>251</v>
      </c>
      <c r="B31" s="135">
        <f>SUM(B32:B32)</f>
        <v>30247.809999999998</v>
      </c>
      <c r="C31" s="135">
        <f>SUM(C32:C32)</f>
        <v>31457.722399999999</v>
      </c>
      <c r="D31" s="135">
        <f>SUM(D32:D32)</f>
        <v>32086.876848</v>
      </c>
      <c r="E31" s="135">
        <f>SUM(E32:E32)</f>
        <v>32086.876848</v>
      </c>
      <c r="F31" s="26"/>
      <c r="G31" s="136">
        <f>C31/B31-1</f>
        <v>4.0000000000000036E-2</v>
      </c>
      <c r="H31" s="136">
        <f>D31/C31-1</f>
        <v>2.0000000000000018E-2</v>
      </c>
      <c r="I31" s="136">
        <f>E31/D31-1</f>
        <v>0</v>
      </c>
      <c r="J31" s="26"/>
    </row>
    <row r="32" spans="1:10" hidden="1" outlineLevel="1" x14ac:dyDescent="0.3">
      <c r="A32" s="137" t="s">
        <v>164</v>
      </c>
      <c r="B32" s="130">
        <f>VLOOKUP(A32,'Income Data - 12 Period'!$A$25:$N$76,14,FALSE)</f>
        <v>30247.809999999998</v>
      </c>
      <c r="C32" s="130">
        <f>B32*(1+G32)</f>
        <v>31457.722399999999</v>
      </c>
      <c r="D32" s="130">
        <f>C32*(1+H32)</f>
        <v>32086.876848</v>
      </c>
      <c r="E32" s="130">
        <f>D32*(1+I32)</f>
        <v>32086.876848</v>
      </c>
      <c r="F32" s="26"/>
      <c r="G32" s="138">
        <v>0.04</v>
      </c>
      <c r="H32" s="138">
        <v>0.02</v>
      </c>
      <c r="I32" s="138">
        <v>0</v>
      </c>
      <c r="J32" s="26"/>
    </row>
    <row r="33" spans="1:10" collapsed="1" x14ac:dyDescent="0.3">
      <c r="A33" s="104" t="s">
        <v>252</v>
      </c>
      <c r="B33" s="135">
        <f>SUM(B34:B35)</f>
        <v>91034.5</v>
      </c>
      <c r="C33" s="135">
        <f>SUM(C34:C35)</f>
        <v>91034.5</v>
      </c>
      <c r="D33" s="135">
        <f>SUM(D34:D35)</f>
        <v>91034.5</v>
      </c>
      <c r="E33" s="135">
        <f>SUM(E34:E35)</f>
        <v>91034.5</v>
      </c>
      <c r="F33" s="44"/>
      <c r="G33" s="136">
        <f>C33/B33-1</f>
        <v>0</v>
      </c>
      <c r="H33" s="136">
        <f>D33/C33-1</f>
        <v>0</v>
      </c>
      <c r="I33" s="136">
        <f>E33/D33-1</f>
        <v>0</v>
      </c>
      <c r="J33" s="26"/>
    </row>
    <row r="34" spans="1:10" hidden="1" outlineLevel="1" x14ac:dyDescent="0.3">
      <c r="A34" s="139" t="s">
        <v>143</v>
      </c>
      <c r="B34" s="130">
        <f>VLOOKUP(A34,'Income Data - 12 Period'!$A$25:$N$76,14,FALSE)</f>
        <v>19010.730000000003</v>
      </c>
      <c r="C34" s="130">
        <f t="shared" ref="C34:E35" si="9">B34*(1+G34)</f>
        <v>19010.730000000003</v>
      </c>
      <c r="D34" s="130">
        <f t="shared" si="9"/>
        <v>19010.730000000003</v>
      </c>
      <c r="E34" s="130">
        <f t="shared" si="9"/>
        <v>19010.730000000003</v>
      </c>
      <c r="F34" s="44"/>
      <c r="G34" s="138">
        <v>0</v>
      </c>
      <c r="H34" s="138">
        <f>G34</f>
        <v>0</v>
      </c>
      <c r="I34" s="138">
        <f>H34</f>
        <v>0</v>
      </c>
      <c r="J34" s="26"/>
    </row>
    <row r="35" spans="1:10" hidden="1" outlineLevel="1" x14ac:dyDescent="0.3">
      <c r="A35" s="139" t="s">
        <v>253</v>
      </c>
      <c r="B35" s="130">
        <f>VLOOKUP(A35,'Income Data - 12 Period'!$A$25:$N$76,14,FALSE)</f>
        <v>72023.77</v>
      </c>
      <c r="C35" s="130">
        <f t="shared" si="9"/>
        <v>72023.77</v>
      </c>
      <c r="D35" s="130">
        <f t="shared" si="9"/>
        <v>72023.77</v>
      </c>
      <c r="E35" s="130">
        <f t="shared" si="9"/>
        <v>72023.77</v>
      </c>
      <c r="F35" s="44"/>
      <c r="G35" s="138">
        <v>0</v>
      </c>
      <c r="H35" s="138">
        <f>G35</f>
        <v>0</v>
      </c>
      <c r="I35" s="138">
        <f>H35</f>
        <v>0</v>
      </c>
      <c r="J35" s="26"/>
    </row>
    <row r="36" spans="1:10" collapsed="1" x14ac:dyDescent="0.3">
      <c r="A36" s="142" t="s">
        <v>254</v>
      </c>
      <c r="B36" s="143">
        <f>B7+B11+B23+B27+B31+B33</f>
        <v>678117.82000000007</v>
      </c>
      <c r="C36" s="143">
        <f>C7+C11+C23+C27+C31+C33</f>
        <v>719609.75929999992</v>
      </c>
      <c r="D36" s="143">
        <f>D7+D11+D23+D27+D31+D33</f>
        <v>754255.00992300001</v>
      </c>
      <c r="E36" s="143">
        <f>E7+E11+E23+E27+E31+E33</f>
        <v>773636.79503604991</v>
      </c>
      <c r="F36" s="142"/>
      <c r="G36" s="144">
        <f>C36/B36-1</f>
        <v>6.1186917783697004E-2</v>
      </c>
      <c r="H36" s="144">
        <f>D36/C36-1</f>
        <v>4.8144498007782977E-2</v>
      </c>
      <c r="I36" s="144">
        <f>E36/D36-1</f>
        <v>2.5696594464819755E-2</v>
      </c>
      <c r="J36" s="26"/>
    </row>
  </sheetData>
  <mergeCells count="4">
    <mergeCell ref="A1:E1"/>
    <mergeCell ref="A2:E2"/>
    <mergeCell ref="A3:E3"/>
    <mergeCell ref="C5:E5"/>
  </mergeCells>
  <phoneticPr fontId="6" type="noConversion"/>
  <hyperlinks>
    <hyperlink ref="A5" location="Contenido!A1" display="&lt;&lt;Contenido" xr:uid="{AE563EFC-5D15-490D-8F25-C3694E7B8F9C}"/>
  </hyperlinks>
  <pageMargins left="0.75" right="0.75" top="1" bottom="1" header="0.5" footer="0.5"/>
  <pageSetup scale="90" fitToWidth="0" orientation="landscape" horizontalDpi="4294967293" verticalDpi="200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DCD2705-88B6-4BD2-93B9-D1FB484D14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Expenses!G7:I7</xm:f>
              <xm:sqref>J7</xm:sqref>
            </x14:sparkline>
            <x14:sparkline>
              <xm:f>Expenses!G8:I8</xm:f>
              <xm:sqref>J8</xm:sqref>
            </x14:sparkline>
            <x14:sparkline>
              <xm:f>Expenses!G9:I9</xm:f>
              <xm:sqref>J9</xm:sqref>
            </x14:sparkline>
            <x14:sparkline>
              <xm:f>Expenses!G10:I10</xm:f>
              <xm:sqref>J10</xm:sqref>
            </x14:sparkline>
            <x14:sparkline>
              <xm:f>Expenses!G11:I11</xm:f>
              <xm:sqref>J11</xm:sqref>
            </x14:sparkline>
            <x14:sparkline>
              <xm:f>Expenses!G12:I12</xm:f>
              <xm:sqref>J12</xm:sqref>
            </x14:sparkline>
            <x14:sparkline>
              <xm:f>Expenses!G13:I13</xm:f>
              <xm:sqref>J13</xm:sqref>
            </x14:sparkline>
            <x14:sparkline>
              <xm:f>Expenses!G14:I14</xm:f>
              <xm:sqref>J14</xm:sqref>
            </x14:sparkline>
            <x14:sparkline>
              <xm:f>Expenses!G15:I15</xm:f>
              <xm:sqref>J15</xm:sqref>
            </x14:sparkline>
            <x14:sparkline>
              <xm:f>Expenses!G16:I16</xm:f>
              <xm:sqref>J16</xm:sqref>
            </x14:sparkline>
            <x14:sparkline>
              <xm:f>Expenses!G17:I17</xm:f>
              <xm:sqref>J17</xm:sqref>
            </x14:sparkline>
            <x14:sparkline>
              <xm:f>Expenses!G18:I18</xm:f>
              <xm:sqref>J18</xm:sqref>
            </x14:sparkline>
            <x14:sparkline>
              <xm:f>Expenses!G19:I19</xm:f>
              <xm:sqref>J19</xm:sqref>
            </x14:sparkline>
            <x14:sparkline>
              <xm:f>Expenses!G20:I20</xm:f>
              <xm:sqref>J20</xm:sqref>
            </x14:sparkline>
            <x14:sparkline>
              <xm:f>Expenses!G21:I21</xm:f>
              <xm:sqref>J21</xm:sqref>
            </x14:sparkline>
            <x14:sparkline>
              <xm:f>Expenses!G22:I22</xm:f>
              <xm:sqref>J22</xm:sqref>
            </x14:sparkline>
            <x14:sparkline>
              <xm:f>Expenses!G23:I23</xm:f>
              <xm:sqref>J23</xm:sqref>
            </x14:sparkline>
            <x14:sparkline>
              <xm:f>Expenses!G24:I24</xm:f>
              <xm:sqref>J24</xm:sqref>
            </x14:sparkline>
            <x14:sparkline>
              <xm:f>Expenses!G25:I25</xm:f>
              <xm:sqref>J25</xm:sqref>
            </x14:sparkline>
            <x14:sparkline>
              <xm:f>Expenses!G26:I26</xm:f>
              <xm:sqref>J26</xm:sqref>
            </x14:sparkline>
            <x14:sparkline>
              <xm:f>Expenses!G27:I27</xm:f>
              <xm:sqref>J27</xm:sqref>
            </x14:sparkline>
            <x14:sparkline>
              <xm:f>Expenses!G28:I28</xm:f>
              <xm:sqref>J28</xm:sqref>
            </x14:sparkline>
            <x14:sparkline>
              <xm:f>Expenses!G29:I29</xm:f>
              <xm:sqref>J29</xm:sqref>
            </x14:sparkline>
            <x14:sparkline>
              <xm:f>Expenses!G30:I30</xm:f>
              <xm:sqref>J30</xm:sqref>
            </x14:sparkline>
            <x14:sparkline>
              <xm:f>Expenses!G31:I31</xm:f>
              <xm:sqref>J31</xm:sqref>
            </x14:sparkline>
            <x14:sparkline>
              <xm:f>Expenses!G32:I32</xm:f>
              <xm:sqref>J32</xm:sqref>
            </x14:sparkline>
            <x14:sparkline>
              <xm:f>Expenses!G33:I33</xm:f>
              <xm:sqref>J33</xm:sqref>
            </x14:sparkline>
            <x14:sparkline>
              <xm:f>Expenses!G34:I34</xm:f>
              <xm:sqref>J34</xm:sqref>
            </x14:sparkline>
            <x14:sparkline>
              <xm:f>Expenses!G35:I35</xm:f>
              <xm:sqref>J35</xm:sqref>
            </x14:sparkline>
            <x14:sparkline>
              <xm:f>Expenses!G36:I36</xm:f>
              <xm:sqref>J36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5818-5096-4B1B-A29F-ED8C9A39ABAB}">
  <sheetPr codeName="Hoja8">
    <pageSetUpPr fitToPage="1"/>
  </sheetPr>
  <dimension ref="A1:O48"/>
  <sheetViews>
    <sheetView topLeftCell="F7" zoomScale="80" zoomScaleNormal="80" workbookViewId="0">
      <selection activeCell="O25" sqref="O25"/>
    </sheetView>
  </sheetViews>
  <sheetFormatPr defaultColWidth="11.54296875" defaultRowHeight="15" x14ac:dyDescent="0.25"/>
  <cols>
    <col min="1" max="1" width="1.08984375" style="3" bestFit="1" customWidth="1"/>
    <col min="2" max="2" width="21.26953125" style="3" bestFit="1" customWidth="1"/>
    <col min="3" max="3" width="13.54296875" style="7" bestFit="1" customWidth="1"/>
    <col min="4" max="4" width="7.54296875" style="3" bestFit="1" customWidth="1"/>
    <col min="5" max="6" width="8.36328125" style="3" bestFit="1" customWidth="1"/>
    <col min="7" max="7" width="9.1796875" style="3" bestFit="1" customWidth="1"/>
    <col min="8" max="8" width="6.81640625" style="3" customWidth="1"/>
    <col min="9" max="9" width="0.90625" style="3" customWidth="1"/>
    <col min="10" max="10" width="21.26953125" style="3" bestFit="1" customWidth="1"/>
    <col min="11" max="11" width="13.54296875" style="3" bestFit="1" customWidth="1"/>
    <col min="12" max="12" width="7.54296875" style="3" bestFit="1" customWidth="1"/>
    <col min="13" max="14" width="8.36328125" style="3" bestFit="1" customWidth="1"/>
    <col min="15" max="15" width="9.1796875" style="3" bestFit="1" customWidth="1"/>
    <col min="16" max="16384" width="11.54296875" style="3"/>
  </cols>
  <sheetData>
    <row r="1" spans="1:15" x14ac:dyDescent="0.25">
      <c r="A1" s="319" t="str">
        <f>[1]Costos!A1:I1</f>
        <v>Empresa  Suquimsa</v>
      </c>
      <c r="B1" s="319"/>
      <c r="C1" s="319"/>
      <c r="D1" s="319"/>
      <c r="E1" s="319"/>
      <c r="F1" s="319"/>
      <c r="G1" s="319"/>
      <c r="H1" s="24"/>
      <c r="I1" s="319">
        <f>[1]Costos!I1:Q1</f>
        <v>0</v>
      </c>
      <c r="J1" s="319"/>
      <c r="K1" s="319"/>
      <c r="L1" s="319"/>
      <c r="M1" s="319"/>
      <c r="N1" s="319"/>
      <c r="O1" s="319"/>
    </row>
    <row r="2" spans="1:15" x14ac:dyDescent="0.25">
      <c r="A2" s="319" t="s">
        <v>255</v>
      </c>
      <c r="B2" s="319"/>
      <c r="C2" s="319"/>
      <c r="D2" s="319"/>
      <c r="E2" s="319"/>
      <c r="F2" s="319"/>
      <c r="G2" s="319"/>
      <c r="H2" s="24"/>
      <c r="I2" s="319" t="s">
        <v>255</v>
      </c>
      <c r="J2" s="319"/>
      <c r="K2" s="319"/>
      <c r="L2" s="319"/>
      <c r="M2" s="319"/>
      <c r="N2" s="319"/>
      <c r="O2" s="319"/>
    </row>
    <row r="3" spans="1:15" x14ac:dyDescent="0.25">
      <c r="A3" s="319" t="s">
        <v>256</v>
      </c>
      <c r="B3" s="319"/>
      <c r="C3" s="319"/>
      <c r="D3" s="319"/>
      <c r="E3" s="319"/>
      <c r="F3" s="319"/>
      <c r="G3" s="319"/>
      <c r="H3" s="24"/>
      <c r="I3" s="319" t="s">
        <v>257</v>
      </c>
      <c r="J3" s="319"/>
      <c r="K3" s="319"/>
      <c r="L3" s="319"/>
      <c r="M3" s="319"/>
      <c r="N3" s="319"/>
      <c r="O3" s="319"/>
    </row>
    <row r="4" spans="1:15" x14ac:dyDescent="0.25">
      <c r="A4" s="145"/>
      <c r="B4" s="109" t="s">
        <v>58</v>
      </c>
      <c r="C4" s="145"/>
      <c r="D4" s="145"/>
      <c r="E4" s="145"/>
      <c r="F4" s="145"/>
      <c r="G4" s="145"/>
      <c r="H4" s="44"/>
      <c r="I4" s="145"/>
      <c r="J4" s="109" t="s">
        <v>58</v>
      </c>
      <c r="K4" s="145"/>
      <c r="L4" s="145"/>
      <c r="M4" s="145"/>
      <c r="N4" s="145"/>
      <c r="O4" s="145"/>
    </row>
    <row r="5" spans="1:15" x14ac:dyDescent="0.25">
      <c r="A5" s="323" t="s">
        <v>31</v>
      </c>
      <c r="B5" s="323"/>
      <c r="C5" s="323" t="s">
        <v>3</v>
      </c>
      <c r="D5" s="146" t="s">
        <v>30</v>
      </c>
      <c r="E5" s="146"/>
      <c r="F5" s="146" t="s">
        <v>11</v>
      </c>
      <c r="G5" s="146"/>
      <c r="H5" s="44"/>
      <c r="I5" s="323" t="s">
        <v>31</v>
      </c>
      <c r="J5" s="321"/>
      <c r="K5" s="323" t="s">
        <v>3</v>
      </c>
      <c r="L5" s="146" t="s">
        <v>30</v>
      </c>
      <c r="M5" s="146"/>
      <c r="N5" s="146" t="s">
        <v>11</v>
      </c>
      <c r="O5" s="146"/>
    </row>
    <row r="6" spans="1:15" x14ac:dyDescent="0.25">
      <c r="A6" s="323"/>
      <c r="B6" s="323"/>
      <c r="C6" s="323"/>
      <c r="D6" s="147" t="s">
        <v>258</v>
      </c>
      <c r="E6" s="147" t="s">
        <v>259</v>
      </c>
      <c r="F6" s="147" t="s">
        <v>258</v>
      </c>
      <c r="G6" s="147" t="s">
        <v>259</v>
      </c>
      <c r="H6" s="44"/>
      <c r="I6" s="321"/>
      <c r="J6" s="321"/>
      <c r="K6" s="323"/>
      <c r="L6" s="147" t="s">
        <v>258</v>
      </c>
      <c r="M6" s="147" t="s">
        <v>259</v>
      </c>
      <c r="N6" s="147" t="s">
        <v>258</v>
      </c>
      <c r="O6" s="147" t="s">
        <v>259</v>
      </c>
    </row>
    <row r="7" spans="1:15" x14ac:dyDescent="0.25">
      <c r="A7" s="44"/>
      <c r="B7" s="44"/>
      <c r="C7" s="148"/>
      <c r="D7" s="44"/>
      <c r="E7" s="44"/>
      <c r="F7" s="44"/>
      <c r="G7" s="44"/>
      <c r="H7" s="44"/>
      <c r="I7" s="44"/>
      <c r="J7" s="44"/>
      <c r="K7" s="148"/>
      <c r="L7" s="44"/>
      <c r="M7" s="44"/>
      <c r="N7" s="44"/>
      <c r="O7" s="44"/>
    </row>
    <row r="8" spans="1:15" x14ac:dyDescent="0.25">
      <c r="A8" s="44"/>
      <c r="B8" s="149" t="s">
        <v>260</v>
      </c>
      <c r="C8" s="150"/>
      <c r="D8" s="151"/>
      <c r="E8" s="151"/>
      <c r="F8" s="152">
        <f>SUM(F9:F24)</f>
        <v>13836</v>
      </c>
      <c r="G8" s="152">
        <f>SUM(G9:G24)</f>
        <v>166032</v>
      </c>
      <c r="H8" s="44"/>
      <c r="I8" s="44"/>
      <c r="J8" s="149" t="s">
        <v>260</v>
      </c>
      <c r="K8" s="150"/>
      <c r="L8" s="151"/>
      <c r="M8" s="151"/>
      <c r="N8" s="152">
        <f>SUM(N9:N24)</f>
        <v>13436</v>
      </c>
      <c r="O8" s="152">
        <f>SUM(O9:O24)</f>
        <v>161232</v>
      </c>
    </row>
    <row r="9" spans="1:15" x14ac:dyDescent="0.25">
      <c r="A9" s="44"/>
      <c r="B9" s="119" t="s">
        <v>46</v>
      </c>
      <c r="C9" s="150">
        <v>1</v>
      </c>
      <c r="D9" s="151">
        <v>1000</v>
      </c>
      <c r="E9" s="151">
        <f>D9*12</f>
        <v>12000</v>
      </c>
      <c r="F9" s="151">
        <f>D9*C9</f>
        <v>1000</v>
      </c>
      <c r="G9" s="151">
        <f t="shared" ref="G9:G20" si="0">(F9*12)</f>
        <v>12000</v>
      </c>
      <c r="H9" s="44"/>
      <c r="I9" s="44"/>
      <c r="J9" s="153" t="s">
        <v>46</v>
      </c>
      <c r="K9" s="154">
        <v>1</v>
      </c>
      <c r="L9" s="155">
        <v>1000</v>
      </c>
      <c r="M9" s="151">
        <f>L9*12</f>
        <v>12000</v>
      </c>
      <c r="N9" s="151">
        <f>L9*K9</f>
        <v>1000</v>
      </c>
      <c r="O9" s="151">
        <f t="shared" ref="O9:O20" si="1">(N9*12)</f>
        <v>12000</v>
      </c>
    </row>
    <row r="10" spans="1:15" x14ac:dyDescent="0.25">
      <c r="A10" s="44"/>
      <c r="B10" s="44" t="s">
        <v>45</v>
      </c>
      <c r="C10" s="148">
        <v>1</v>
      </c>
      <c r="D10" s="156">
        <v>975</v>
      </c>
      <c r="E10" s="151">
        <f>D10*12</f>
        <v>11700</v>
      </c>
      <c r="F10" s="151">
        <f>D10*C10</f>
        <v>975</v>
      </c>
      <c r="G10" s="151">
        <f t="shared" si="0"/>
        <v>11700</v>
      </c>
      <c r="H10" s="44"/>
      <c r="I10" s="44"/>
      <c r="J10" s="157" t="s">
        <v>45</v>
      </c>
      <c r="K10" s="158">
        <v>1</v>
      </c>
      <c r="L10" s="159">
        <v>975</v>
      </c>
      <c r="M10" s="151">
        <f>L10*12</f>
        <v>11700</v>
      </c>
      <c r="N10" s="151">
        <f>L10*K10</f>
        <v>975</v>
      </c>
      <c r="O10" s="151">
        <f t="shared" si="1"/>
        <v>11700</v>
      </c>
    </row>
    <row r="11" spans="1:15" x14ac:dyDescent="0.25">
      <c r="A11" s="44"/>
      <c r="B11" s="44" t="s">
        <v>261</v>
      </c>
      <c r="C11" s="148">
        <v>1</v>
      </c>
      <c r="D11" s="156">
        <v>400</v>
      </c>
      <c r="E11" s="151">
        <f>D11*12</f>
        <v>4800</v>
      </c>
      <c r="F11" s="151">
        <f>D11*C11</f>
        <v>400</v>
      </c>
      <c r="G11" s="151">
        <f t="shared" si="0"/>
        <v>4800</v>
      </c>
      <c r="H11" s="44"/>
      <c r="I11" s="44"/>
      <c r="J11" s="157" t="s">
        <v>261</v>
      </c>
      <c r="K11" s="158">
        <v>0</v>
      </c>
      <c r="L11" s="159">
        <v>400</v>
      </c>
      <c r="M11" s="151">
        <f>L11*12</f>
        <v>4800</v>
      </c>
      <c r="N11" s="151">
        <f>L11*K11</f>
        <v>0</v>
      </c>
      <c r="O11" s="151">
        <f t="shared" si="1"/>
        <v>0</v>
      </c>
    </row>
    <row r="12" spans="1:15" x14ac:dyDescent="0.25">
      <c r="A12" s="44"/>
      <c r="B12" s="44" t="s">
        <v>47</v>
      </c>
      <c r="C12" s="148">
        <v>1</v>
      </c>
      <c r="D12" s="156">
        <v>475</v>
      </c>
      <c r="E12" s="151">
        <f t="shared" ref="E12:E24" si="2">D12*12</f>
        <v>5700</v>
      </c>
      <c r="F12" s="151">
        <f t="shared" ref="F12:F20" si="3">D12*C12</f>
        <v>475</v>
      </c>
      <c r="G12" s="151">
        <f t="shared" si="0"/>
        <v>5700</v>
      </c>
      <c r="H12" s="44"/>
      <c r="I12" s="44"/>
      <c r="J12" s="157" t="s">
        <v>47</v>
      </c>
      <c r="K12" s="158">
        <v>1</v>
      </c>
      <c r="L12" s="159">
        <v>475</v>
      </c>
      <c r="M12" s="151">
        <f t="shared" ref="M12:M24" si="4">L12*12</f>
        <v>5700</v>
      </c>
      <c r="N12" s="151">
        <f t="shared" ref="N12:N20" si="5">L12*K12</f>
        <v>475</v>
      </c>
      <c r="O12" s="151">
        <f t="shared" si="1"/>
        <v>5700</v>
      </c>
    </row>
    <row r="13" spans="1:15" x14ac:dyDescent="0.25">
      <c r="A13" s="44"/>
      <c r="B13" s="44" t="s">
        <v>48</v>
      </c>
      <c r="C13" s="148">
        <v>2</v>
      </c>
      <c r="D13" s="156">
        <v>375</v>
      </c>
      <c r="E13" s="151">
        <f t="shared" si="2"/>
        <v>4500</v>
      </c>
      <c r="F13" s="151">
        <f t="shared" si="3"/>
        <v>750</v>
      </c>
      <c r="G13" s="151">
        <f t="shared" si="0"/>
        <v>9000</v>
      </c>
      <c r="H13" s="44"/>
      <c r="I13" s="44"/>
      <c r="J13" s="157" t="s">
        <v>48</v>
      </c>
      <c r="K13" s="158">
        <v>2</v>
      </c>
      <c r="L13" s="159">
        <v>375</v>
      </c>
      <c r="M13" s="151">
        <f t="shared" si="4"/>
        <v>4500</v>
      </c>
      <c r="N13" s="151">
        <f t="shared" si="5"/>
        <v>750</v>
      </c>
      <c r="O13" s="151">
        <f t="shared" si="1"/>
        <v>9000</v>
      </c>
    </row>
    <row r="14" spans="1:15" x14ac:dyDescent="0.25">
      <c r="A14" s="44"/>
      <c r="B14" s="44" t="s">
        <v>49</v>
      </c>
      <c r="C14" s="148">
        <v>13</v>
      </c>
      <c r="D14" s="156">
        <v>322</v>
      </c>
      <c r="E14" s="151">
        <f t="shared" si="2"/>
        <v>3864</v>
      </c>
      <c r="F14" s="151">
        <f t="shared" si="3"/>
        <v>4186</v>
      </c>
      <c r="G14" s="151">
        <f t="shared" si="0"/>
        <v>50232</v>
      </c>
      <c r="H14" s="44"/>
      <c r="I14" s="44"/>
      <c r="J14" s="157" t="s">
        <v>49</v>
      </c>
      <c r="K14" s="158">
        <v>13</v>
      </c>
      <c r="L14" s="159">
        <v>322</v>
      </c>
      <c r="M14" s="151">
        <f t="shared" si="4"/>
        <v>3864</v>
      </c>
      <c r="N14" s="151">
        <f t="shared" si="5"/>
        <v>4186</v>
      </c>
      <c r="O14" s="151">
        <f t="shared" si="1"/>
        <v>50232</v>
      </c>
    </row>
    <row r="15" spans="1:15" x14ac:dyDescent="0.25">
      <c r="A15" s="44"/>
      <c r="B15" s="44" t="s">
        <v>50</v>
      </c>
      <c r="C15" s="148">
        <v>3</v>
      </c>
      <c r="D15" s="156">
        <v>360</v>
      </c>
      <c r="E15" s="151">
        <f t="shared" si="2"/>
        <v>4320</v>
      </c>
      <c r="F15" s="151">
        <f t="shared" si="3"/>
        <v>1080</v>
      </c>
      <c r="G15" s="151">
        <f t="shared" si="0"/>
        <v>12960</v>
      </c>
      <c r="H15" s="44"/>
      <c r="I15" s="44"/>
      <c r="J15" s="157" t="s">
        <v>50</v>
      </c>
      <c r="K15" s="158">
        <v>3</v>
      </c>
      <c r="L15" s="159">
        <v>360</v>
      </c>
      <c r="M15" s="151">
        <f t="shared" si="4"/>
        <v>4320</v>
      </c>
      <c r="N15" s="151">
        <f t="shared" si="5"/>
        <v>1080</v>
      </c>
      <c r="O15" s="151">
        <f t="shared" si="1"/>
        <v>12960</v>
      </c>
    </row>
    <row r="16" spans="1:15" x14ac:dyDescent="0.25">
      <c r="A16" s="44"/>
      <c r="B16" s="44" t="s">
        <v>262</v>
      </c>
      <c r="C16" s="148">
        <v>9</v>
      </c>
      <c r="D16" s="156">
        <v>322</v>
      </c>
      <c r="E16" s="151">
        <f t="shared" si="2"/>
        <v>3864</v>
      </c>
      <c r="F16" s="151">
        <f t="shared" si="3"/>
        <v>2898</v>
      </c>
      <c r="G16" s="151">
        <f t="shared" si="0"/>
        <v>34776</v>
      </c>
      <c r="H16" s="44"/>
      <c r="I16" s="44"/>
      <c r="J16" s="157" t="s">
        <v>262</v>
      </c>
      <c r="K16" s="158">
        <v>9</v>
      </c>
      <c r="L16" s="159">
        <v>322</v>
      </c>
      <c r="M16" s="151">
        <f t="shared" si="4"/>
        <v>3864</v>
      </c>
      <c r="N16" s="151">
        <f t="shared" si="5"/>
        <v>2898</v>
      </c>
      <c r="O16" s="151">
        <f t="shared" si="1"/>
        <v>34776</v>
      </c>
    </row>
    <row r="17" spans="1:15" x14ac:dyDescent="0.25">
      <c r="A17" s="44"/>
      <c r="B17" s="44" t="s">
        <v>43</v>
      </c>
      <c r="C17" s="148">
        <v>1</v>
      </c>
      <c r="D17" s="156">
        <v>350</v>
      </c>
      <c r="E17" s="151">
        <f t="shared" si="2"/>
        <v>4200</v>
      </c>
      <c r="F17" s="151">
        <f t="shared" si="3"/>
        <v>350</v>
      </c>
      <c r="G17" s="151">
        <f t="shared" si="0"/>
        <v>4200</v>
      </c>
      <c r="H17" s="44"/>
      <c r="I17" s="44"/>
      <c r="J17" s="157" t="s">
        <v>43</v>
      </c>
      <c r="K17" s="158">
        <v>1</v>
      </c>
      <c r="L17" s="159">
        <v>350</v>
      </c>
      <c r="M17" s="151">
        <f t="shared" si="4"/>
        <v>4200</v>
      </c>
      <c r="N17" s="151">
        <f t="shared" si="5"/>
        <v>350</v>
      </c>
      <c r="O17" s="151">
        <f t="shared" si="1"/>
        <v>4200</v>
      </c>
    </row>
    <row r="18" spans="1:15" x14ac:dyDescent="0.25">
      <c r="A18" s="44"/>
      <c r="B18" s="44" t="s">
        <v>51</v>
      </c>
      <c r="C18" s="148">
        <v>0</v>
      </c>
      <c r="D18" s="156">
        <v>0</v>
      </c>
      <c r="E18" s="151">
        <f t="shared" si="2"/>
        <v>0</v>
      </c>
      <c r="F18" s="151">
        <f t="shared" si="3"/>
        <v>0</v>
      </c>
      <c r="G18" s="151">
        <f t="shared" si="0"/>
        <v>0</v>
      </c>
      <c r="H18" s="44"/>
      <c r="I18" s="44"/>
      <c r="J18" s="157" t="s">
        <v>51</v>
      </c>
      <c r="K18" s="158">
        <v>0</v>
      </c>
      <c r="L18" s="159">
        <v>0</v>
      </c>
      <c r="M18" s="151">
        <f t="shared" si="4"/>
        <v>0</v>
      </c>
      <c r="N18" s="151">
        <f t="shared" si="5"/>
        <v>0</v>
      </c>
      <c r="O18" s="151">
        <f t="shared" si="1"/>
        <v>0</v>
      </c>
    </row>
    <row r="19" spans="1:15" x14ac:dyDescent="0.25">
      <c r="A19" s="44"/>
      <c r="B19" s="44" t="s">
        <v>104</v>
      </c>
      <c r="C19" s="148">
        <v>1</v>
      </c>
      <c r="D19" s="156">
        <v>600</v>
      </c>
      <c r="E19" s="151">
        <f t="shared" si="2"/>
        <v>7200</v>
      </c>
      <c r="F19" s="151">
        <f t="shared" si="3"/>
        <v>600</v>
      </c>
      <c r="G19" s="151">
        <f t="shared" si="0"/>
        <v>7200</v>
      </c>
      <c r="H19" s="44"/>
      <c r="I19" s="44"/>
      <c r="J19" s="157" t="s">
        <v>104</v>
      </c>
      <c r="K19" s="158">
        <v>1</v>
      </c>
      <c r="L19" s="159">
        <v>600</v>
      </c>
      <c r="M19" s="151">
        <f t="shared" si="4"/>
        <v>7200</v>
      </c>
      <c r="N19" s="151">
        <f t="shared" si="5"/>
        <v>600</v>
      </c>
      <c r="O19" s="151">
        <f t="shared" si="1"/>
        <v>7200</v>
      </c>
    </row>
    <row r="20" spans="1:15" x14ac:dyDescent="0.25">
      <c r="A20" s="44"/>
      <c r="B20" s="44" t="s">
        <v>44</v>
      </c>
      <c r="C20" s="148">
        <v>1</v>
      </c>
      <c r="D20" s="156">
        <v>322</v>
      </c>
      <c r="E20" s="151">
        <f t="shared" si="2"/>
        <v>3864</v>
      </c>
      <c r="F20" s="151">
        <f t="shared" si="3"/>
        <v>322</v>
      </c>
      <c r="G20" s="151">
        <f t="shared" si="0"/>
        <v>3864</v>
      </c>
      <c r="H20" s="44"/>
      <c r="I20" s="44"/>
      <c r="J20" s="157" t="s">
        <v>44</v>
      </c>
      <c r="K20" s="158">
        <v>1</v>
      </c>
      <c r="L20" s="159">
        <v>322</v>
      </c>
      <c r="M20" s="151">
        <f t="shared" si="4"/>
        <v>3864</v>
      </c>
      <c r="N20" s="151">
        <f t="shared" si="5"/>
        <v>322</v>
      </c>
      <c r="O20" s="151">
        <f t="shared" si="1"/>
        <v>3864</v>
      </c>
    </row>
    <row r="21" spans="1:15" x14ac:dyDescent="0.25">
      <c r="A21" s="44"/>
      <c r="B21" s="44" t="s">
        <v>263</v>
      </c>
      <c r="C21" s="148">
        <v>2</v>
      </c>
      <c r="D21" s="156">
        <v>400</v>
      </c>
      <c r="E21" s="151">
        <f t="shared" si="2"/>
        <v>4800</v>
      </c>
      <c r="F21" s="151">
        <f>D21*C21</f>
        <v>800</v>
      </c>
      <c r="G21" s="151">
        <f>(F21*12)</f>
        <v>9600</v>
      </c>
      <c r="H21" s="44"/>
      <c r="I21" s="44"/>
      <c r="J21" s="157" t="s">
        <v>263</v>
      </c>
      <c r="K21" s="158">
        <v>2</v>
      </c>
      <c r="L21" s="159">
        <v>400</v>
      </c>
      <c r="M21" s="151">
        <f t="shared" si="4"/>
        <v>4800</v>
      </c>
      <c r="N21" s="151">
        <f>L21*K21</f>
        <v>800</v>
      </c>
      <c r="O21" s="151">
        <f>(N21*12)</f>
        <v>9600</v>
      </c>
    </row>
    <row r="22" spans="1:15" x14ac:dyDescent="0.25">
      <c r="A22" s="44"/>
      <c r="B22" s="44" t="s">
        <v>263</v>
      </c>
      <c r="C22" s="148">
        <v>0</v>
      </c>
      <c r="D22" s="156">
        <v>300</v>
      </c>
      <c r="E22" s="151">
        <f t="shared" si="2"/>
        <v>3600</v>
      </c>
      <c r="F22" s="151">
        <f>D22*C22</f>
        <v>0</v>
      </c>
      <c r="G22" s="151">
        <f>(F22*12)</f>
        <v>0</v>
      </c>
      <c r="H22" s="44"/>
      <c r="I22" s="44"/>
      <c r="J22" s="157" t="s">
        <v>263</v>
      </c>
      <c r="K22" s="158">
        <v>0</v>
      </c>
      <c r="L22" s="159">
        <v>300</v>
      </c>
      <c r="M22" s="151">
        <f t="shared" si="4"/>
        <v>3600</v>
      </c>
      <c r="N22" s="151">
        <f>L22*K22</f>
        <v>0</v>
      </c>
      <c r="O22" s="151">
        <f>(N22*12)</f>
        <v>0</v>
      </c>
    </row>
    <row r="23" spans="1:15" x14ac:dyDescent="0.25">
      <c r="A23" s="44"/>
      <c r="B23" s="44" t="s">
        <v>263</v>
      </c>
      <c r="C23" s="148">
        <v>0</v>
      </c>
      <c r="D23" s="156">
        <v>700</v>
      </c>
      <c r="E23" s="151">
        <f t="shared" si="2"/>
        <v>8400</v>
      </c>
      <c r="F23" s="151">
        <f>D23*C23</f>
        <v>0</v>
      </c>
      <c r="G23" s="151">
        <f>(F23*12)</f>
        <v>0</v>
      </c>
      <c r="H23" s="44"/>
      <c r="I23" s="44"/>
      <c r="J23" s="157" t="s">
        <v>263</v>
      </c>
      <c r="K23" s="158">
        <v>0</v>
      </c>
      <c r="L23" s="159">
        <v>700</v>
      </c>
      <c r="M23" s="151">
        <f t="shared" si="4"/>
        <v>8400</v>
      </c>
      <c r="N23" s="151">
        <f>L23*K23</f>
        <v>0</v>
      </c>
      <c r="O23" s="151">
        <f>(N23*12)</f>
        <v>0</v>
      </c>
    </row>
    <row r="24" spans="1:15" x14ac:dyDescent="0.25">
      <c r="A24" s="44"/>
      <c r="B24" s="44" t="s">
        <v>52</v>
      </c>
      <c r="C24" s="148">
        <v>0</v>
      </c>
      <c r="D24" s="156">
        <v>100</v>
      </c>
      <c r="E24" s="151">
        <f t="shared" si="2"/>
        <v>1200</v>
      </c>
      <c r="F24" s="151">
        <f>D24*C24</f>
        <v>0</v>
      </c>
      <c r="G24" s="151">
        <f>(F24*12)</f>
        <v>0</v>
      </c>
      <c r="H24" s="44"/>
      <c r="I24" s="44"/>
      <c r="J24" s="157" t="s">
        <v>52</v>
      </c>
      <c r="K24" s="158">
        <v>0</v>
      </c>
      <c r="L24" s="159">
        <v>100</v>
      </c>
      <c r="M24" s="151">
        <f t="shared" si="4"/>
        <v>1200</v>
      </c>
      <c r="N24" s="151">
        <f>L24*K24</f>
        <v>0</v>
      </c>
      <c r="O24" s="151">
        <f>(N24*12)</f>
        <v>0</v>
      </c>
    </row>
    <row r="25" spans="1:15" x14ac:dyDescent="0.25">
      <c r="A25" s="44"/>
      <c r="B25" s="149" t="s">
        <v>17</v>
      </c>
      <c r="C25" s="150" t="s">
        <v>12</v>
      </c>
      <c r="D25" s="151"/>
      <c r="E25" s="151"/>
      <c r="F25" s="160">
        <f>F8*0.3</f>
        <v>4150.8</v>
      </c>
      <c r="G25" s="160">
        <f>G8*0.3</f>
        <v>49809.599999999999</v>
      </c>
      <c r="H25" s="44"/>
      <c r="I25" s="44"/>
      <c r="J25" s="149" t="s">
        <v>17</v>
      </c>
      <c r="K25" s="150" t="s">
        <v>12</v>
      </c>
      <c r="L25" s="151"/>
      <c r="M25" s="151"/>
      <c r="N25" s="160">
        <f>N8*0.3</f>
        <v>4030.7999999999997</v>
      </c>
      <c r="O25" s="160">
        <f>O8*0.3</f>
        <v>48369.599999999999</v>
      </c>
    </row>
    <row r="26" spans="1:15" x14ac:dyDescent="0.25">
      <c r="A26" s="44"/>
      <c r="B26" s="44"/>
      <c r="C26" s="150" t="s">
        <v>12</v>
      </c>
      <c r="D26" s="151"/>
      <c r="E26" s="151"/>
      <c r="F26" s="151" t="s">
        <v>12</v>
      </c>
      <c r="G26" s="151"/>
      <c r="H26" s="44"/>
      <c r="I26" s="44"/>
      <c r="J26" s="44"/>
      <c r="K26" s="150" t="s">
        <v>12</v>
      </c>
      <c r="L26" s="151"/>
      <c r="M26" s="151"/>
      <c r="N26" s="151" t="s">
        <v>12</v>
      </c>
      <c r="O26" s="151"/>
    </row>
    <row r="27" spans="1:15" x14ac:dyDescent="0.25">
      <c r="A27" s="121"/>
      <c r="B27" s="122" t="s">
        <v>29</v>
      </c>
      <c r="C27" s="161">
        <f>SUM(C10:C24)</f>
        <v>35</v>
      </c>
      <c r="D27" s="151" t="s">
        <v>12</v>
      </c>
      <c r="E27" s="151"/>
      <c r="F27" s="162">
        <f>(F8+F25)</f>
        <v>17986.8</v>
      </c>
      <c r="G27" s="162">
        <f>(G8+G25)</f>
        <v>215841.6</v>
      </c>
      <c r="H27" s="44"/>
      <c r="I27" s="121"/>
      <c r="J27" s="122" t="s">
        <v>29</v>
      </c>
      <c r="K27" s="161">
        <f>SUM(K10:K24)</f>
        <v>34</v>
      </c>
      <c r="L27" s="151" t="s">
        <v>12</v>
      </c>
      <c r="M27" s="151"/>
      <c r="N27" s="162">
        <f>(N8+N25)</f>
        <v>17466.8</v>
      </c>
      <c r="O27" s="162">
        <f>(O8+O25)</f>
        <v>209601.6</v>
      </c>
    </row>
    <row r="28" spans="1:15" x14ac:dyDescent="0.25">
      <c r="A28" s="44"/>
      <c r="B28" s="44"/>
      <c r="C28" s="150"/>
      <c r="D28" s="120"/>
      <c r="E28" s="120"/>
      <c r="F28" s="120"/>
      <c r="G28" s="120"/>
      <c r="H28" s="44"/>
      <c r="I28" s="44"/>
      <c r="J28" s="44"/>
      <c r="K28" s="44"/>
      <c r="L28" s="44"/>
      <c r="M28" s="44"/>
      <c r="N28" s="44"/>
      <c r="O28" s="44"/>
    </row>
    <row r="29" spans="1:15" x14ac:dyDescent="0.25">
      <c r="A29" s="44"/>
      <c r="B29" s="44"/>
      <c r="C29" s="150"/>
      <c r="D29" s="120"/>
      <c r="E29" s="120"/>
      <c r="F29" s="120"/>
      <c r="G29" s="120"/>
      <c r="H29" s="44"/>
      <c r="I29" s="44"/>
      <c r="J29" s="44"/>
      <c r="K29" s="44"/>
      <c r="L29" s="44"/>
      <c r="M29" s="44"/>
      <c r="N29" s="44"/>
      <c r="O29" s="44"/>
    </row>
    <row r="30" spans="1:15" x14ac:dyDescent="0.25">
      <c r="A30" s="323" t="s">
        <v>32</v>
      </c>
      <c r="B30" s="324"/>
      <c r="C30" s="323" t="s">
        <v>3</v>
      </c>
      <c r="D30" s="146" t="s">
        <v>34</v>
      </c>
      <c r="E30" s="146"/>
      <c r="F30" s="326" t="s">
        <v>27</v>
      </c>
      <c r="G30" s="326"/>
      <c r="H30" s="44"/>
      <c r="I30" s="323" t="s">
        <v>32</v>
      </c>
      <c r="J30" s="324"/>
      <c r="K30" s="323" t="s">
        <v>3</v>
      </c>
      <c r="L30" s="146" t="s">
        <v>34</v>
      </c>
      <c r="M30" s="146"/>
      <c r="N30" s="326" t="s">
        <v>27</v>
      </c>
      <c r="O30" s="326"/>
    </row>
    <row r="31" spans="1:15" x14ac:dyDescent="0.25">
      <c r="A31" s="324"/>
      <c r="B31" s="324"/>
      <c r="C31" s="323"/>
      <c r="D31" s="147" t="s">
        <v>258</v>
      </c>
      <c r="E31" s="147" t="s">
        <v>259</v>
      </c>
      <c r="F31" s="147" t="s">
        <v>258</v>
      </c>
      <c r="G31" s="147" t="s">
        <v>259</v>
      </c>
      <c r="H31" s="44"/>
      <c r="I31" s="324"/>
      <c r="J31" s="324"/>
      <c r="K31" s="323"/>
      <c r="L31" s="147" t="s">
        <v>258</v>
      </c>
      <c r="M31" s="147" t="s">
        <v>259</v>
      </c>
      <c r="N31" s="147" t="s">
        <v>258</v>
      </c>
      <c r="O31" s="147" t="s">
        <v>259</v>
      </c>
    </row>
    <row r="32" spans="1:15" x14ac:dyDescent="0.25">
      <c r="A32" s="44"/>
      <c r="B32" s="44"/>
      <c r="C32" s="148"/>
      <c r="D32" s="44"/>
      <c r="E32" s="44"/>
      <c r="F32" s="44"/>
      <c r="G32" s="44"/>
      <c r="H32" s="44"/>
      <c r="I32" s="44"/>
      <c r="J32" s="44"/>
      <c r="K32" s="148"/>
      <c r="L32" s="44"/>
      <c r="M32" s="44"/>
      <c r="N32" s="44"/>
      <c r="O32" s="44"/>
    </row>
    <row r="33" spans="1:15" x14ac:dyDescent="0.25">
      <c r="A33" s="44"/>
      <c r="B33" s="149" t="s">
        <v>33</v>
      </c>
      <c r="C33" s="150"/>
      <c r="D33" s="151"/>
      <c r="E33" s="151"/>
      <c r="F33" s="163">
        <f>SUM(F34:F37)</f>
        <v>0</v>
      </c>
      <c r="G33" s="163">
        <f>SUM(G34:G37)</f>
        <v>0</v>
      </c>
      <c r="H33" s="44"/>
      <c r="I33" s="44"/>
      <c r="J33" s="149" t="s">
        <v>33</v>
      </c>
      <c r="K33" s="150"/>
      <c r="L33" s="151"/>
      <c r="M33" s="151"/>
      <c r="N33" s="163">
        <f>SUM(N34:N37)</f>
        <v>0</v>
      </c>
      <c r="O33" s="163">
        <f>SUM(O34:O37)</f>
        <v>0</v>
      </c>
    </row>
    <row r="34" spans="1:15" x14ac:dyDescent="0.25">
      <c r="A34" s="44"/>
      <c r="B34" s="44" t="s">
        <v>12</v>
      </c>
      <c r="C34" s="148"/>
      <c r="D34" s="156"/>
      <c r="E34" s="151"/>
      <c r="F34" s="151"/>
      <c r="G34" s="151"/>
      <c r="H34" s="44"/>
      <c r="I34" s="44"/>
      <c r="J34" s="44" t="s">
        <v>12</v>
      </c>
      <c r="K34" s="148"/>
      <c r="L34" s="156"/>
      <c r="M34" s="151"/>
      <c r="N34" s="151"/>
      <c r="O34" s="151"/>
    </row>
    <row r="35" spans="1:15" x14ac:dyDescent="0.25">
      <c r="A35" s="44"/>
      <c r="B35" s="44" t="s">
        <v>264</v>
      </c>
      <c r="C35" s="148">
        <v>1</v>
      </c>
      <c r="D35" s="164">
        <v>0</v>
      </c>
      <c r="E35" s="164">
        <f>D35*12</f>
        <v>0</v>
      </c>
      <c r="F35" s="164">
        <f>D35*C35</f>
        <v>0</v>
      </c>
      <c r="G35" s="164">
        <f>(F35*12)</f>
        <v>0</v>
      </c>
      <c r="H35" s="44"/>
      <c r="I35" s="44"/>
      <c r="J35" s="157" t="s">
        <v>264</v>
      </c>
      <c r="K35" s="158">
        <v>1</v>
      </c>
      <c r="L35" s="165">
        <v>0</v>
      </c>
      <c r="M35" s="164">
        <f>L35*12</f>
        <v>0</v>
      </c>
      <c r="N35" s="164">
        <f>L35*K35</f>
        <v>0</v>
      </c>
      <c r="O35" s="164">
        <f>(N35*12)</f>
        <v>0</v>
      </c>
    </row>
    <row r="36" spans="1:15" x14ac:dyDescent="0.25">
      <c r="A36" s="44"/>
      <c r="B36" s="44" t="s">
        <v>265</v>
      </c>
      <c r="C36" s="148">
        <v>1</v>
      </c>
      <c r="D36" s="164">
        <v>0</v>
      </c>
      <c r="E36" s="164">
        <f>D36*12</f>
        <v>0</v>
      </c>
      <c r="F36" s="164">
        <f>D36*C36</f>
        <v>0</v>
      </c>
      <c r="G36" s="164">
        <f>(F36*12)</f>
        <v>0</v>
      </c>
      <c r="H36" s="44"/>
      <c r="I36" s="44"/>
      <c r="J36" s="157" t="s">
        <v>265</v>
      </c>
      <c r="K36" s="158">
        <v>1</v>
      </c>
      <c r="L36" s="165">
        <v>0</v>
      </c>
      <c r="M36" s="164">
        <f>L36*12</f>
        <v>0</v>
      </c>
      <c r="N36" s="164">
        <f>L36*K36</f>
        <v>0</v>
      </c>
      <c r="O36" s="164">
        <f>(N36*12)</f>
        <v>0</v>
      </c>
    </row>
    <row r="37" spans="1:15" x14ac:dyDescent="0.25">
      <c r="A37" s="44"/>
      <c r="B37" s="44" t="s">
        <v>266</v>
      </c>
      <c r="C37" s="148">
        <v>1</v>
      </c>
      <c r="D37" s="164">
        <v>0</v>
      </c>
      <c r="E37" s="164">
        <f>D37*12</f>
        <v>0</v>
      </c>
      <c r="F37" s="164">
        <f>D37*C37</f>
        <v>0</v>
      </c>
      <c r="G37" s="164">
        <f>(F37*12)</f>
        <v>0</v>
      </c>
      <c r="H37" s="44"/>
      <c r="I37" s="44"/>
      <c r="J37" s="157" t="s">
        <v>266</v>
      </c>
      <c r="K37" s="158">
        <v>1</v>
      </c>
      <c r="L37" s="165">
        <v>0</v>
      </c>
      <c r="M37" s="164">
        <f>L37*12</f>
        <v>0</v>
      </c>
      <c r="N37" s="164">
        <f>L37*K37</f>
        <v>0</v>
      </c>
      <c r="O37" s="164">
        <f>(N37*12)</f>
        <v>0</v>
      </c>
    </row>
    <row r="38" spans="1:15" x14ac:dyDescent="0.25">
      <c r="A38" s="44"/>
      <c r="B38" s="44"/>
      <c r="C38" s="150" t="s">
        <v>12</v>
      </c>
      <c r="D38" s="151"/>
      <c r="E38" s="151"/>
      <c r="F38" s="151"/>
      <c r="G38" s="151"/>
      <c r="H38" s="44"/>
      <c r="I38" s="44"/>
      <c r="J38" s="44"/>
      <c r="K38" s="150" t="s">
        <v>12</v>
      </c>
      <c r="L38" s="151"/>
      <c r="M38" s="151"/>
      <c r="N38" s="151"/>
      <c r="O38" s="151"/>
    </row>
    <row r="39" spans="1:15" x14ac:dyDescent="0.25">
      <c r="A39" s="44"/>
      <c r="B39" s="122" t="s">
        <v>29</v>
      </c>
      <c r="C39" s="161">
        <f>SUM(C34:C37)</f>
        <v>3</v>
      </c>
      <c r="D39" s="151"/>
      <c r="E39" s="151"/>
      <c r="F39" s="166">
        <f>F33</f>
        <v>0</v>
      </c>
      <c r="G39" s="166">
        <f>G33</f>
        <v>0</v>
      </c>
      <c r="H39" s="44"/>
      <c r="I39" s="44"/>
      <c r="J39" s="122" t="s">
        <v>29</v>
      </c>
      <c r="K39" s="161">
        <f>SUM(K34:K37)</f>
        <v>3</v>
      </c>
      <c r="L39" s="151"/>
      <c r="M39" s="151"/>
      <c r="N39" s="166">
        <f>N33</f>
        <v>0</v>
      </c>
      <c r="O39" s="166">
        <f>O33</f>
        <v>0</v>
      </c>
    </row>
    <row r="40" spans="1:15" x14ac:dyDescent="0.25">
      <c r="A40" s="44"/>
      <c r="B40" s="44"/>
      <c r="C40" s="148"/>
      <c r="D40" s="44"/>
      <c r="E40" s="44"/>
      <c r="F40" s="44"/>
      <c r="G40" s="44"/>
      <c r="H40" s="44"/>
      <c r="I40" s="44"/>
      <c r="J40" s="44"/>
      <c r="K40" s="148"/>
      <c r="L40" s="44"/>
      <c r="M40" s="44"/>
      <c r="N40" s="44"/>
      <c r="O40" s="44"/>
    </row>
    <row r="41" spans="1:15" x14ac:dyDescent="0.25">
      <c r="A41" s="44"/>
      <c r="B41" s="44"/>
      <c r="C41" s="148"/>
      <c r="D41" s="44"/>
      <c r="E41" s="44"/>
      <c r="F41" s="44"/>
      <c r="G41" s="44"/>
      <c r="H41" s="44"/>
      <c r="I41" s="44"/>
      <c r="J41" s="44"/>
      <c r="K41" s="148"/>
      <c r="L41" s="44"/>
      <c r="M41" s="44"/>
      <c r="N41" s="44"/>
      <c r="O41" s="44"/>
    </row>
    <row r="42" spans="1:15" x14ac:dyDescent="0.25">
      <c r="A42" s="44"/>
      <c r="B42" s="97" t="s">
        <v>267</v>
      </c>
      <c r="C42" s="148"/>
      <c r="D42" s="44"/>
      <c r="E42" s="44"/>
      <c r="F42" s="147" t="s">
        <v>258</v>
      </c>
      <c r="G42" s="147" t="s">
        <v>259</v>
      </c>
      <c r="H42" s="44"/>
      <c r="I42" s="44"/>
      <c r="J42" s="97" t="s">
        <v>267</v>
      </c>
      <c r="K42" s="148"/>
      <c r="L42" s="44"/>
      <c r="M42" s="44"/>
      <c r="N42" s="147" t="s">
        <v>258</v>
      </c>
      <c r="O42" s="147" t="s">
        <v>259</v>
      </c>
    </row>
    <row r="43" spans="1:15" x14ac:dyDescent="0.25">
      <c r="A43" s="114"/>
      <c r="B43" s="97" t="s">
        <v>32</v>
      </c>
      <c r="C43" s="148"/>
      <c r="D43" s="44"/>
      <c r="E43" s="44"/>
      <c r="F43" s="166">
        <f>F27+F39</f>
        <v>17986.8</v>
      </c>
      <c r="G43" s="166">
        <f>G27+G39</f>
        <v>215841.6</v>
      </c>
      <c r="H43" s="44"/>
      <c r="I43" s="114"/>
      <c r="J43" s="97" t="s">
        <v>32</v>
      </c>
      <c r="K43" s="148"/>
      <c r="L43" s="44"/>
      <c r="M43" s="44"/>
      <c r="N43" s="166">
        <f>N27+N39</f>
        <v>17466.8</v>
      </c>
      <c r="O43" s="166">
        <f>O27+O39</f>
        <v>209601.6</v>
      </c>
    </row>
    <row r="44" spans="1:15" x14ac:dyDescent="0.25">
      <c r="A44" s="44"/>
      <c r="B44" s="44"/>
      <c r="C44" s="148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</row>
    <row r="45" spans="1:15" x14ac:dyDescent="0.25">
      <c r="A45" s="44"/>
      <c r="B45" s="44"/>
      <c r="C45" s="148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</row>
    <row r="46" spans="1:15" x14ac:dyDescent="0.25">
      <c r="A46" s="44"/>
      <c r="B46" s="44"/>
      <c r="C46" s="148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</row>
    <row r="47" spans="1:15" x14ac:dyDescent="0.25">
      <c r="A47" s="97" t="s">
        <v>12</v>
      </c>
      <c r="B47" s="44"/>
      <c r="C47" s="148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</row>
    <row r="48" spans="1:15" x14ac:dyDescent="0.25">
      <c r="A48" s="44" t="s">
        <v>12</v>
      </c>
      <c r="B48" s="44"/>
      <c r="C48" s="148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</sheetData>
  <mergeCells count="16">
    <mergeCell ref="A1:G1"/>
    <mergeCell ref="A2:G2"/>
    <mergeCell ref="A3:G3"/>
    <mergeCell ref="F30:G30"/>
    <mergeCell ref="A5:B6"/>
    <mergeCell ref="C5:C6"/>
    <mergeCell ref="A30:B31"/>
    <mergeCell ref="C30:C31"/>
    <mergeCell ref="I30:J31"/>
    <mergeCell ref="K30:K31"/>
    <mergeCell ref="N30:O30"/>
    <mergeCell ref="I1:O1"/>
    <mergeCell ref="I2:O2"/>
    <mergeCell ref="I3:O3"/>
    <mergeCell ref="I5:J6"/>
    <mergeCell ref="K5:K6"/>
  </mergeCells>
  <phoneticPr fontId="0" type="noConversion"/>
  <hyperlinks>
    <hyperlink ref="B4" location="Contenido!A1" display="&lt;&lt;Contenido" xr:uid="{8E3D2C42-B31C-4BE5-A7A2-427866EACF2F}"/>
    <hyperlink ref="J4" location="Contenido!A1" display="&lt;&lt;Contenido" xr:uid="{3640F757-7AB9-44C4-8932-09B168B27A9E}"/>
  </hyperlinks>
  <printOptions horizontalCentered="1"/>
  <pageMargins left="0.78740157480314965" right="0.78740157480314965" top="0.98425196850393704" bottom="0.98425196850393704" header="0" footer="0"/>
  <pageSetup scale="50" orientation="landscape" horizontalDpi="4294967293" verticalDpi="360" r:id="rId1"/>
  <headerFooter alignWithMargins="0">
    <oddFooter>&amp;R&amp;10 5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BC5F6-CB29-4E18-938B-E70243F8BD9D}">
  <sheetPr codeName="Hoja7">
    <pageSetUpPr fitToPage="1"/>
  </sheetPr>
  <dimension ref="A1:K40"/>
  <sheetViews>
    <sheetView showGridLines="0" zoomScale="81" zoomScaleNormal="81" workbookViewId="0">
      <selection activeCell="D25" sqref="D25"/>
    </sheetView>
  </sheetViews>
  <sheetFormatPr defaultColWidth="11.54296875" defaultRowHeight="15" x14ac:dyDescent="0.25"/>
  <cols>
    <col min="1" max="1" width="9.6328125" style="3" bestFit="1" customWidth="1"/>
    <col min="2" max="2" width="0.90625" style="3" customWidth="1"/>
    <col min="3" max="3" width="25.54296875" style="3" bestFit="1" customWidth="1"/>
    <col min="4" max="4" width="16.54296875" style="3" bestFit="1" customWidth="1"/>
    <col min="5" max="5" width="16.90625" style="3" bestFit="1" customWidth="1"/>
    <col min="6" max="6" width="37.90625" style="3" bestFit="1" customWidth="1"/>
    <col min="7" max="7" width="21" style="3" bestFit="1" customWidth="1"/>
    <col min="8" max="8" width="11.6328125" style="3" bestFit="1" customWidth="1"/>
    <col min="9" max="9" width="13.90625" style="19" bestFit="1" customWidth="1"/>
    <col min="10" max="16384" width="11.54296875" style="3"/>
  </cols>
  <sheetData>
    <row r="1" spans="1:11" x14ac:dyDescent="0.25">
      <c r="A1" s="319" t="str">
        <f>Expenses!A1</f>
        <v>Company  Suquimsa</v>
      </c>
      <c r="B1" s="319"/>
      <c r="C1" s="319"/>
      <c r="D1" s="319"/>
      <c r="E1" s="319"/>
      <c r="F1" s="319"/>
      <c r="G1" s="319"/>
      <c r="H1" s="319"/>
      <c r="I1" s="24"/>
      <c r="J1" s="24"/>
      <c r="K1" s="24"/>
    </row>
    <row r="2" spans="1:11" x14ac:dyDescent="0.25">
      <c r="A2" s="319" t="s">
        <v>449</v>
      </c>
      <c r="B2" s="319"/>
      <c r="C2" s="319"/>
      <c r="D2" s="319"/>
      <c r="E2" s="319"/>
      <c r="F2" s="319"/>
      <c r="G2" s="319"/>
      <c r="H2" s="319"/>
      <c r="I2" s="24"/>
      <c r="J2" s="24"/>
      <c r="K2" s="24"/>
    </row>
    <row r="3" spans="1:11" x14ac:dyDescent="0.25">
      <c r="A3" s="319" t="s">
        <v>221</v>
      </c>
      <c r="B3" s="319"/>
      <c r="C3" s="319"/>
      <c r="D3" s="319"/>
      <c r="E3" s="319"/>
      <c r="F3" s="319"/>
      <c r="G3" s="319"/>
      <c r="H3" s="25"/>
      <c r="I3" s="25"/>
      <c r="J3" s="24"/>
      <c r="K3" s="24"/>
    </row>
    <row r="4" spans="1:11" x14ac:dyDescent="0.25">
      <c r="A4" s="26"/>
      <c r="B4" s="26"/>
      <c r="C4" s="26"/>
      <c r="D4" s="26"/>
      <c r="E4" s="26"/>
      <c r="F4" s="26"/>
      <c r="G4" s="26"/>
      <c r="H4" s="26"/>
      <c r="I4" s="26"/>
      <c r="J4" s="44"/>
      <c r="K4" s="44"/>
    </row>
    <row r="5" spans="1:11" x14ac:dyDescent="0.25">
      <c r="A5" s="99" t="s">
        <v>444</v>
      </c>
      <c r="B5" s="99"/>
      <c r="C5" s="167">
        <v>700000</v>
      </c>
      <c r="D5" s="44"/>
      <c r="E5" s="168" t="s">
        <v>442</v>
      </c>
      <c r="F5" s="169">
        <f>+F17/12</f>
        <v>8492.9915701736554</v>
      </c>
      <c r="G5" s="68"/>
      <c r="H5" s="68"/>
      <c r="I5" s="26"/>
      <c r="J5" s="44"/>
      <c r="K5" s="44"/>
    </row>
    <row r="6" spans="1:11" x14ac:dyDescent="0.25">
      <c r="A6" s="99" t="s">
        <v>445</v>
      </c>
      <c r="B6" s="99"/>
      <c r="C6" s="170">
        <v>7.4861999999999998E-2</v>
      </c>
      <c r="D6" s="68"/>
      <c r="E6" s="169" t="s">
        <v>443</v>
      </c>
      <c r="F6" s="169">
        <f>F27</f>
        <v>1019158.9884208387</v>
      </c>
      <c r="G6" s="68"/>
      <c r="H6" s="68"/>
      <c r="I6" s="26"/>
      <c r="J6" s="44"/>
      <c r="K6" s="44"/>
    </row>
    <row r="7" spans="1:11" x14ac:dyDescent="0.25">
      <c r="A7" s="99" t="s">
        <v>269</v>
      </c>
      <c r="B7" s="99"/>
      <c r="C7" s="99">
        <v>10</v>
      </c>
      <c r="D7" s="68"/>
      <c r="E7" s="171" t="s">
        <v>446</v>
      </c>
      <c r="F7" s="172">
        <f>F6-C5</f>
        <v>319158.98842083872</v>
      </c>
      <c r="G7" s="68"/>
      <c r="H7" s="68"/>
      <c r="I7" s="26"/>
      <c r="J7" s="44"/>
      <c r="K7" s="44"/>
    </row>
    <row r="8" spans="1:11" x14ac:dyDescent="0.25">
      <c r="A8" s="26"/>
      <c r="B8" s="26"/>
      <c r="C8" s="26"/>
      <c r="D8" s="26"/>
      <c r="E8" s="26"/>
      <c r="F8" s="26"/>
      <c r="G8" s="26"/>
      <c r="H8" s="26"/>
      <c r="I8" s="26"/>
      <c r="J8" s="44"/>
      <c r="K8" s="44"/>
    </row>
    <row r="9" spans="1:11" x14ac:dyDescent="0.25">
      <c r="A9" s="133"/>
      <c r="B9" s="26"/>
      <c r="C9" s="26"/>
      <c r="D9" s="26"/>
      <c r="E9" s="26"/>
      <c r="F9" s="26"/>
      <c r="G9" s="26"/>
      <c r="H9" s="26"/>
      <c r="I9" s="26"/>
      <c r="J9" s="44"/>
      <c r="K9" s="44"/>
    </row>
    <row r="10" spans="1:11" x14ac:dyDescent="0.25">
      <c r="A10" s="133" t="s">
        <v>58</v>
      </c>
      <c r="B10" s="26"/>
      <c r="C10" s="26"/>
      <c r="D10" s="26"/>
      <c r="E10" s="26"/>
      <c r="F10" s="26"/>
      <c r="G10" s="26"/>
      <c r="H10" s="26"/>
      <c r="I10" s="26"/>
      <c r="J10" s="44"/>
      <c r="K10" s="44"/>
    </row>
    <row r="11" spans="1:11" x14ac:dyDescent="0.25">
      <c r="A11" s="327" t="s">
        <v>270</v>
      </c>
      <c r="B11" s="327"/>
      <c r="C11" s="327"/>
      <c r="D11" s="327"/>
      <c r="E11" s="327"/>
      <c r="F11" s="327"/>
      <c r="G11" s="327"/>
      <c r="H11" s="327"/>
      <c r="I11" s="26"/>
      <c r="J11" s="44"/>
      <c r="K11" s="44"/>
    </row>
    <row r="12" spans="1:11" x14ac:dyDescent="0.25">
      <c r="A12" s="323" t="s">
        <v>271</v>
      </c>
      <c r="B12" s="68"/>
      <c r="C12" s="323" t="s">
        <v>272</v>
      </c>
      <c r="D12" s="323" t="s">
        <v>447</v>
      </c>
      <c r="E12" s="323" t="s">
        <v>274</v>
      </c>
      <c r="F12" s="323" t="s">
        <v>448</v>
      </c>
      <c r="G12" s="323" t="s">
        <v>276</v>
      </c>
      <c r="H12" s="323" t="s">
        <v>442</v>
      </c>
      <c r="I12" s="26"/>
      <c r="J12" s="44"/>
      <c r="K12" s="44"/>
    </row>
    <row r="13" spans="1:11" x14ac:dyDescent="0.25">
      <c r="A13" s="324"/>
      <c r="B13" s="68"/>
      <c r="C13" s="324"/>
      <c r="D13" s="324"/>
      <c r="E13" s="324"/>
      <c r="F13" s="324"/>
      <c r="G13" s="324"/>
      <c r="H13" s="324"/>
      <c r="I13" s="26"/>
      <c r="J13" s="44"/>
      <c r="K13" s="44"/>
    </row>
    <row r="14" spans="1:11" x14ac:dyDescent="0.25">
      <c r="A14" s="324"/>
      <c r="B14" s="68"/>
      <c r="C14" s="324"/>
      <c r="D14" s="324"/>
      <c r="E14" s="324"/>
      <c r="F14" s="324"/>
      <c r="G14" s="324"/>
      <c r="H14" s="324"/>
      <c r="I14" s="26"/>
      <c r="J14" s="44"/>
      <c r="K14" s="44"/>
    </row>
    <row r="15" spans="1:11" x14ac:dyDescent="0.25">
      <c r="A15" s="68"/>
      <c r="B15" s="68"/>
      <c r="C15" s="68"/>
      <c r="D15" s="68"/>
      <c r="E15" s="68"/>
      <c r="F15" s="68"/>
      <c r="G15" s="68"/>
      <c r="H15" s="44"/>
      <c r="I15" s="26"/>
      <c r="J15" s="44"/>
      <c r="K15" s="44"/>
    </row>
    <row r="16" spans="1:11" x14ac:dyDescent="0.25">
      <c r="A16" s="68"/>
      <c r="B16" s="68"/>
      <c r="C16" s="68"/>
      <c r="D16" s="68"/>
      <c r="E16" s="68"/>
      <c r="F16" s="173"/>
      <c r="G16" s="68"/>
      <c r="H16" s="44">
        <f>F17/12</f>
        <v>8492.9915701736554</v>
      </c>
      <c r="I16" s="28"/>
      <c r="J16" s="44"/>
      <c r="K16" s="44"/>
    </row>
    <row r="17" spans="1:11" x14ac:dyDescent="0.25">
      <c r="A17" s="174">
        <v>2013</v>
      </c>
      <c r="B17" s="68"/>
      <c r="C17" s="175">
        <f>C5</f>
        <v>700000</v>
      </c>
      <c r="D17" s="175">
        <f>(F17-E17)</f>
        <v>49512.498842083871</v>
      </c>
      <c r="E17" s="175">
        <f>(C17*$C$6)</f>
        <v>52403.4</v>
      </c>
      <c r="F17" s="176">
        <f t="shared" ref="F17:F26" si="0">PMT($C$6,$C$7,-$C$17)</f>
        <v>101915.89884208387</v>
      </c>
      <c r="G17" s="175">
        <f>(C17-D17)</f>
        <v>650487.50115791615</v>
      </c>
      <c r="H17" s="177"/>
      <c r="I17" s="26"/>
      <c r="J17" s="44"/>
      <c r="K17" s="44"/>
    </row>
    <row r="18" spans="1:11" x14ac:dyDescent="0.25">
      <c r="A18" s="174">
        <f>A17+1</f>
        <v>2014</v>
      </c>
      <c r="B18" s="68"/>
      <c r="C18" s="175">
        <f>G17</f>
        <v>650487.50115791615</v>
      </c>
      <c r="D18" s="175">
        <f>(F18-E18)</f>
        <v>53219.103530399952</v>
      </c>
      <c r="E18" s="175">
        <f>(C18*$C$6)</f>
        <v>48696.79531168392</v>
      </c>
      <c r="F18" s="176">
        <f t="shared" si="0"/>
        <v>101915.89884208387</v>
      </c>
      <c r="G18" s="175">
        <f>(C18-D18)</f>
        <v>597268.39762751618</v>
      </c>
      <c r="H18" s="44"/>
      <c r="I18" s="178"/>
      <c r="J18" s="44"/>
      <c r="K18" s="44"/>
    </row>
    <row r="19" spans="1:11" x14ac:dyDescent="0.25">
      <c r="A19" s="174">
        <f>A18+1</f>
        <v>2015</v>
      </c>
      <c r="B19" s="68"/>
      <c r="C19" s="175">
        <f>G18</f>
        <v>597268.39762751618</v>
      </c>
      <c r="D19" s="175">
        <f>(F19-E19)</f>
        <v>57203.192058892761</v>
      </c>
      <c r="E19" s="175">
        <f>(C19*$C$6)</f>
        <v>44712.706783191112</v>
      </c>
      <c r="F19" s="176">
        <f t="shared" si="0"/>
        <v>101915.89884208387</v>
      </c>
      <c r="G19" s="175">
        <f>(C19-D19)</f>
        <v>540065.20556862338</v>
      </c>
      <c r="H19" s="44"/>
      <c r="I19" s="26"/>
      <c r="J19" s="44"/>
      <c r="K19" s="44"/>
    </row>
    <row r="20" spans="1:11" x14ac:dyDescent="0.25">
      <c r="A20" s="174">
        <f t="shared" ref="A20:A26" si="1">A19+1</f>
        <v>2016</v>
      </c>
      <c r="B20" s="68"/>
      <c r="C20" s="175">
        <f t="shared" ref="C20:C26" si="2">G19</f>
        <v>540065.20556862338</v>
      </c>
      <c r="D20" s="175">
        <f t="shared" ref="D20:D26" si="3">(F20-E20)</f>
        <v>61485.537422805588</v>
      </c>
      <c r="E20" s="175">
        <f t="shared" ref="E20:E26" si="4">(C20*$C$6)</f>
        <v>40430.361419278284</v>
      </c>
      <c r="F20" s="176">
        <f t="shared" si="0"/>
        <v>101915.89884208387</v>
      </c>
      <c r="G20" s="175">
        <f t="shared" ref="G20:G26" si="5">(C20-D20)</f>
        <v>478579.66814581782</v>
      </c>
      <c r="H20" s="179"/>
      <c r="I20" s="180"/>
      <c r="J20" s="179"/>
      <c r="K20" s="179"/>
    </row>
    <row r="21" spans="1:11" x14ac:dyDescent="0.25">
      <c r="A21" s="174">
        <f t="shared" si="1"/>
        <v>2017</v>
      </c>
      <c r="B21" s="68"/>
      <c r="C21" s="175">
        <f t="shared" si="2"/>
        <v>478579.66814581782</v>
      </c>
      <c r="D21" s="175">
        <f t="shared" si="3"/>
        <v>66088.467725351657</v>
      </c>
      <c r="E21" s="175">
        <f t="shared" si="4"/>
        <v>35827.431116732216</v>
      </c>
      <c r="F21" s="176">
        <f t="shared" si="0"/>
        <v>101915.89884208387</v>
      </c>
      <c r="G21" s="175">
        <f t="shared" si="5"/>
        <v>412491.20042046614</v>
      </c>
      <c r="H21" s="179"/>
      <c r="I21" s="26"/>
      <c r="J21" s="179"/>
      <c r="K21" s="179"/>
    </row>
    <row r="22" spans="1:11" x14ac:dyDescent="0.25">
      <c r="A22" s="174">
        <f t="shared" si="1"/>
        <v>2018</v>
      </c>
      <c r="B22" s="68"/>
      <c r="C22" s="175">
        <f t="shared" si="2"/>
        <v>412491.20042046614</v>
      </c>
      <c r="D22" s="175">
        <f t="shared" si="3"/>
        <v>71035.982596206944</v>
      </c>
      <c r="E22" s="175">
        <f t="shared" si="4"/>
        <v>30879.916245876935</v>
      </c>
      <c r="F22" s="176">
        <f t="shared" si="0"/>
        <v>101915.89884208387</v>
      </c>
      <c r="G22" s="175">
        <f t="shared" si="5"/>
        <v>341455.21782425919</v>
      </c>
      <c r="H22" s="179"/>
      <c r="I22" s="181"/>
      <c r="J22" s="179"/>
      <c r="K22" s="179"/>
    </row>
    <row r="23" spans="1:11" x14ac:dyDescent="0.25">
      <c r="A23" s="174">
        <f t="shared" si="1"/>
        <v>2019</v>
      </c>
      <c r="B23" s="68"/>
      <c r="C23" s="175">
        <f t="shared" si="2"/>
        <v>341455.21782425919</v>
      </c>
      <c r="D23" s="175">
        <f t="shared" si="3"/>
        <v>76353.878325324185</v>
      </c>
      <c r="E23" s="175">
        <f t="shared" si="4"/>
        <v>25562.020516759691</v>
      </c>
      <c r="F23" s="176">
        <f t="shared" si="0"/>
        <v>101915.89884208387</v>
      </c>
      <c r="G23" s="175">
        <f t="shared" si="5"/>
        <v>265101.33949893503</v>
      </c>
      <c r="H23" s="179"/>
      <c r="I23" s="181"/>
      <c r="J23" s="179"/>
      <c r="K23" s="179"/>
    </row>
    <row r="24" spans="1:11" x14ac:dyDescent="0.25">
      <c r="A24" s="174">
        <f t="shared" si="1"/>
        <v>2020</v>
      </c>
      <c r="B24" s="68"/>
      <c r="C24" s="175">
        <f t="shared" si="2"/>
        <v>265101.33949893503</v>
      </c>
      <c r="D24" s="175">
        <f t="shared" si="3"/>
        <v>82069.882364514604</v>
      </c>
      <c r="E24" s="175">
        <f t="shared" si="4"/>
        <v>19846.016477569276</v>
      </c>
      <c r="F24" s="176">
        <f t="shared" si="0"/>
        <v>101915.89884208387</v>
      </c>
      <c r="G24" s="175">
        <f t="shared" si="5"/>
        <v>183031.45713442043</v>
      </c>
      <c r="H24" s="179"/>
      <c r="I24" s="181"/>
      <c r="J24" s="179"/>
      <c r="K24" s="179"/>
    </row>
    <row r="25" spans="1:11" x14ac:dyDescent="0.25">
      <c r="A25" s="174">
        <f t="shared" si="1"/>
        <v>2021</v>
      </c>
      <c r="B25" s="68"/>
      <c r="C25" s="175">
        <f t="shared" si="2"/>
        <v>183031.45713442043</v>
      </c>
      <c r="D25" s="175">
        <f t="shared" si="3"/>
        <v>88213.797898086894</v>
      </c>
      <c r="E25" s="175">
        <f t="shared" si="4"/>
        <v>13702.100943996982</v>
      </c>
      <c r="F25" s="176">
        <f t="shared" si="0"/>
        <v>101915.89884208387</v>
      </c>
      <c r="G25" s="175">
        <f t="shared" si="5"/>
        <v>94817.659236333537</v>
      </c>
      <c r="H25" s="179"/>
      <c r="I25" s="181"/>
      <c r="J25" s="179"/>
      <c r="K25" s="179"/>
    </row>
    <row r="26" spans="1:11" x14ac:dyDescent="0.25">
      <c r="A26" s="174">
        <f t="shared" si="1"/>
        <v>2022</v>
      </c>
      <c r="B26" s="68"/>
      <c r="C26" s="175">
        <f t="shared" si="2"/>
        <v>94817.659236333537</v>
      </c>
      <c r="D26" s="175">
        <f t="shared" si="3"/>
        <v>94817.659236333478</v>
      </c>
      <c r="E26" s="175">
        <f t="shared" si="4"/>
        <v>7098.2396057504011</v>
      </c>
      <c r="F26" s="176">
        <f t="shared" si="0"/>
        <v>101915.89884208387</v>
      </c>
      <c r="G26" s="175">
        <f t="shared" si="5"/>
        <v>5.8207660913467407E-11</v>
      </c>
      <c r="H26" s="179"/>
      <c r="I26" s="181"/>
      <c r="J26" s="179"/>
      <c r="K26" s="179"/>
    </row>
    <row r="27" spans="1:11" x14ac:dyDescent="0.25">
      <c r="A27" s="142" t="s">
        <v>0</v>
      </c>
      <c r="B27" s="142"/>
      <c r="C27" s="183"/>
      <c r="D27" s="183"/>
      <c r="E27" s="183"/>
      <c r="F27" s="183">
        <f>SUM(F17:F26)</f>
        <v>1019158.9884208387</v>
      </c>
      <c r="G27" s="142"/>
      <c r="H27" s="184"/>
      <c r="I27" s="185"/>
      <c r="J27" s="184"/>
      <c r="K27" s="184"/>
    </row>
    <row r="28" spans="1:11" x14ac:dyDescent="0.25">
      <c r="A28" s="68"/>
      <c r="B28" s="68"/>
      <c r="C28" s="68"/>
      <c r="D28" s="68"/>
      <c r="E28" s="68"/>
      <c r="F28" s="68"/>
      <c r="G28" s="83"/>
      <c r="H28" s="179"/>
      <c r="I28" s="181"/>
      <c r="J28" s="179"/>
      <c r="K28" s="179"/>
    </row>
    <row r="29" spans="1:11" x14ac:dyDescent="0.25">
      <c r="A29" s="68" t="s">
        <v>12</v>
      </c>
      <c r="B29" s="68"/>
      <c r="C29" s="68"/>
      <c r="D29" s="68"/>
      <c r="E29" s="68"/>
      <c r="F29" s="68"/>
      <c r="G29" s="68"/>
      <c r="H29" s="179"/>
      <c r="I29" s="181"/>
      <c r="J29" s="179"/>
      <c r="K29" s="179"/>
    </row>
    <row r="30" spans="1:11" customFormat="1" ht="15.6" x14ac:dyDescent="0.3">
      <c r="A30" s="44"/>
      <c r="B30" s="44"/>
      <c r="C30" s="44"/>
      <c r="D30" s="44"/>
      <c r="E30" s="44"/>
      <c r="F30" s="44"/>
      <c r="G30" s="44"/>
      <c r="H30" s="44"/>
      <c r="I30" s="26"/>
      <c r="J30" s="44"/>
      <c r="K30" s="44"/>
    </row>
    <row r="31" spans="1:11" customFormat="1" ht="15.6" x14ac:dyDescent="0.3">
      <c r="A31" s="44"/>
      <c r="B31" s="44"/>
      <c r="C31" s="44"/>
      <c r="D31" s="44"/>
      <c r="E31" s="44"/>
      <c r="F31" s="44"/>
      <c r="G31" s="44"/>
      <c r="H31" s="44"/>
      <c r="I31" s="26"/>
      <c r="J31" s="44"/>
      <c r="K31" s="44"/>
    </row>
    <row r="32" spans="1:11" customFormat="1" ht="15.6" x14ac:dyDescent="0.3">
      <c r="A32" s="44"/>
      <c r="B32" s="44"/>
      <c r="C32" s="44"/>
      <c r="D32" s="44"/>
      <c r="E32" s="44"/>
      <c r="F32" s="44"/>
      <c r="G32" s="44"/>
      <c r="H32" s="44"/>
      <c r="I32" s="26"/>
      <c r="J32" s="44"/>
      <c r="K32" s="44"/>
    </row>
    <row r="33" spans="1:11" customFormat="1" ht="15.6" x14ac:dyDescent="0.3">
      <c r="A33" s="44"/>
      <c r="B33" s="44"/>
      <c r="C33" s="44"/>
      <c r="D33" s="44"/>
      <c r="E33" s="44"/>
      <c r="F33" s="44"/>
      <c r="G33" s="44"/>
      <c r="H33" s="44"/>
      <c r="I33" s="26"/>
      <c r="J33" s="44"/>
      <c r="K33" s="44"/>
    </row>
    <row r="34" spans="1:11" customFormat="1" ht="15.6" x14ac:dyDescent="0.3">
      <c r="A34" s="44"/>
      <c r="B34" s="44"/>
      <c r="C34" s="44"/>
      <c r="D34" s="44"/>
      <c r="E34" s="44"/>
      <c r="F34" s="44"/>
      <c r="G34" s="44"/>
      <c r="H34" s="44"/>
      <c r="I34" s="26"/>
      <c r="J34" s="44"/>
      <c r="K34" s="44"/>
    </row>
    <row r="35" spans="1:11" customFormat="1" ht="15.6" x14ac:dyDescent="0.3">
      <c r="A35" s="44"/>
      <c r="B35" s="44"/>
      <c r="C35" s="44"/>
      <c r="D35" s="44"/>
      <c r="E35" s="44"/>
      <c r="F35" s="44"/>
      <c r="G35" s="44"/>
      <c r="H35" s="44"/>
      <c r="I35" s="26"/>
      <c r="J35" s="44"/>
      <c r="K35" s="44"/>
    </row>
    <row r="36" spans="1:11" customFormat="1" ht="15.6" x14ac:dyDescent="0.3">
      <c r="A36" s="44"/>
      <c r="B36" s="44"/>
      <c r="C36" s="44"/>
      <c r="D36" s="44"/>
      <c r="E36" s="44"/>
      <c r="F36" s="44"/>
      <c r="G36" s="44"/>
      <c r="H36" s="44"/>
      <c r="I36" s="26"/>
      <c r="J36" s="44"/>
      <c r="K36" s="44"/>
    </row>
    <row r="37" spans="1:11" customFormat="1" ht="15.6" x14ac:dyDescent="0.3">
      <c r="A37" s="44"/>
      <c r="B37" s="44"/>
      <c r="C37" s="44"/>
      <c r="D37" s="44"/>
      <c r="E37" s="44"/>
      <c r="F37" s="44"/>
      <c r="G37" s="44"/>
      <c r="H37" s="44"/>
      <c r="I37" s="26"/>
      <c r="J37" s="44"/>
      <c r="K37" s="44"/>
    </row>
    <row r="38" spans="1:11" customFormat="1" ht="15.6" x14ac:dyDescent="0.3">
      <c r="A38" s="44"/>
      <c r="B38" s="44"/>
      <c r="C38" s="44"/>
      <c r="D38" s="44"/>
      <c r="E38" s="44"/>
      <c r="F38" s="44"/>
      <c r="G38" s="44"/>
      <c r="H38" s="44"/>
      <c r="I38" s="26"/>
      <c r="J38" s="44"/>
      <c r="K38" s="44"/>
    </row>
    <row r="39" spans="1:11" customFormat="1" ht="15.6" x14ac:dyDescent="0.3">
      <c r="A39" s="44"/>
      <c r="B39" s="44"/>
      <c r="C39" s="44"/>
      <c r="D39" s="44"/>
      <c r="E39" s="44"/>
      <c r="F39" s="44"/>
      <c r="G39" s="44"/>
      <c r="H39" s="44"/>
      <c r="I39" s="26"/>
      <c r="J39" s="44"/>
      <c r="K39" s="44"/>
    </row>
    <row r="40" spans="1:11" customFormat="1" ht="15.6" x14ac:dyDescent="0.3">
      <c r="A40" s="44"/>
      <c r="B40" s="44"/>
      <c r="C40" s="44"/>
      <c r="D40" s="44"/>
      <c r="E40" s="44"/>
      <c r="F40" s="44"/>
      <c r="G40" s="44"/>
      <c r="H40" s="44"/>
      <c r="I40" s="26"/>
      <c r="J40" s="44"/>
      <c r="K40" s="44"/>
    </row>
  </sheetData>
  <mergeCells count="11">
    <mergeCell ref="A1:H1"/>
    <mergeCell ref="A11:H11"/>
    <mergeCell ref="H12:H14"/>
    <mergeCell ref="F12:F14"/>
    <mergeCell ref="G12:G14"/>
    <mergeCell ref="A2:H2"/>
    <mergeCell ref="C12:C14"/>
    <mergeCell ref="D12:D14"/>
    <mergeCell ref="A12:A14"/>
    <mergeCell ref="A3:G3"/>
    <mergeCell ref="E12:E14"/>
  </mergeCells>
  <phoneticPr fontId="0" type="noConversion"/>
  <hyperlinks>
    <hyperlink ref="A10" location="Contenido!A1" display="&lt;&lt;Contenido" xr:uid="{0260ABE1-5572-4D99-9E54-F481020ED2EF}"/>
  </hyperlinks>
  <printOptions horizontalCentered="1"/>
  <pageMargins left="0.78740157480314965" right="0.78740157480314965" top="0.98425196850393704" bottom="0.98425196850393704" header="0" footer="0.38"/>
  <pageSetup scale="76" orientation="landscape" horizontalDpi="360" verticalDpi="360" r:id="rId1"/>
  <headerFooter alignWithMargins="0">
    <oddFooter>&amp;R&amp;10 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087-5304-472D-AEDF-E47F3E7DFB51}">
  <sheetPr>
    <pageSetUpPr fitToPage="1"/>
  </sheetPr>
  <dimension ref="A1:K276"/>
  <sheetViews>
    <sheetView showGridLines="0" tabSelected="1"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11.54296875" defaultRowHeight="13.2" outlineLevelRow="1" x14ac:dyDescent="0.25"/>
  <cols>
    <col min="1" max="1" width="33.90625" style="14" customWidth="1"/>
    <col min="2" max="2" width="8.6328125" style="14" bestFit="1" customWidth="1"/>
    <col min="3" max="3" width="9.453125" style="14" bestFit="1" customWidth="1"/>
    <col min="4" max="4" width="8.6328125" style="14" bestFit="1" customWidth="1"/>
    <col min="5" max="7" width="9.453125" style="14" bestFit="1" customWidth="1"/>
    <col min="8" max="8" width="4" style="14" customWidth="1"/>
    <col min="9" max="16384" width="11.54296875" style="14"/>
  </cols>
  <sheetData>
    <row r="1" spans="1:8" ht="13.8" x14ac:dyDescent="0.25">
      <c r="A1" s="186"/>
      <c r="B1" s="319" t="s">
        <v>219</v>
      </c>
      <c r="C1" s="319"/>
      <c r="D1" s="319"/>
      <c r="E1" s="319"/>
      <c r="F1" s="319"/>
      <c r="G1" s="319"/>
      <c r="H1" s="25"/>
    </row>
    <row r="2" spans="1:8" ht="13.8" x14ac:dyDescent="0.25">
      <c r="A2" s="186"/>
      <c r="B2" s="319" t="s">
        <v>277</v>
      </c>
      <c r="C2" s="319"/>
      <c r="D2" s="319"/>
      <c r="E2" s="319"/>
      <c r="F2" s="319"/>
      <c r="G2" s="319"/>
      <c r="H2" s="25"/>
    </row>
    <row r="3" spans="1:8" ht="13.8" x14ac:dyDescent="0.25">
      <c r="A3" s="186"/>
      <c r="B3" s="319" t="s">
        <v>221</v>
      </c>
      <c r="C3" s="319"/>
      <c r="D3" s="319"/>
      <c r="E3" s="319"/>
      <c r="F3" s="319"/>
      <c r="G3" s="319"/>
      <c r="H3" s="25"/>
    </row>
    <row r="4" spans="1:8" ht="13.8" x14ac:dyDescent="0.25">
      <c r="A4" s="187"/>
      <c r="B4" s="28"/>
      <c r="C4" s="28"/>
      <c r="D4" s="28"/>
      <c r="E4" s="28"/>
      <c r="F4" s="28"/>
      <c r="G4" s="28"/>
      <c r="H4" s="188"/>
    </row>
    <row r="5" spans="1:8" ht="13.8" x14ac:dyDescent="0.25">
      <c r="A5" s="187"/>
      <c r="B5" s="328" t="s">
        <v>278</v>
      </c>
      <c r="C5" s="328"/>
      <c r="D5" s="107" t="s">
        <v>166</v>
      </c>
      <c r="E5" s="328" t="s">
        <v>183</v>
      </c>
      <c r="F5" s="328"/>
      <c r="G5" s="328"/>
      <c r="H5" s="187"/>
    </row>
    <row r="6" spans="1:8" ht="13.8" x14ac:dyDescent="0.25">
      <c r="A6" s="189"/>
      <c r="B6" s="190" t="str">
        <f>+[2]balance!F7</f>
        <v>2011</v>
      </c>
      <c r="C6" s="191" t="str">
        <f>+[2]balance!D7</f>
        <v>2012</v>
      </c>
      <c r="D6" s="192">
        <v>2013</v>
      </c>
      <c r="E6" s="192">
        <f>D6+1</f>
        <v>2014</v>
      </c>
      <c r="F6" s="192">
        <f>E6+1</f>
        <v>2015</v>
      </c>
      <c r="G6" s="192">
        <f>F6+1</f>
        <v>2016</v>
      </c>
      <c r="H6" s="193"/>
    </row>
    <row r="7" spans="1:8" ht="13.8" x14ac:dyDescent="0.25">
      <c r="A7" s="194"/>
      <c r="B7" s="195"/>
      <c r="C7" s="196"/>
      <c r="D7" s="197"/>
      <c r="E7" s="187"/>
      <c r="F7" s="187"/>
      <c r="G7" s="187"/>
      <c r="H7" s="187"/>
    </row>
    <row r="8" spans="1:8" s="16" customFormat="1" ht="18" x14ac:dyDescent="0.35">
      <c r="A8" s="211" t="s">
        <v>279</v>
      </c>
      <c r="B8" s="212">
        <v>1565682.97</v>
      </c>
      <c r="C8" s="212">
        <v>1431634.27</v>
      </c>
      <c r="D8" s="212">
        <f>Revenue!F18</f>
        <v>1457273</v>
      </c>
      <c r="E8" s="212">
        <f>Revenue!G23</f>
        <v>1868951.6692504338</v>
      </c>
      <c r="F8" s="212">
        <f>Revenue!H23</f>
        <v>2172293.1791104684</v>
      </c>
      <c r="G8" s="212">
        <f>Revenue!I23</f>
        <v>2499902.009759306</v>
      </c>
      <c r="H8" s="211"/>
    </row>
    <row r="9" spans="1:8" ht="13.8" x14ac:dyDescent="0.25">
      <c r="A9" s="187"/>
      <c r="B9" s="200"/>
      <c r="C9" s="200"/>
      <c r="D9" s="187"/>
      <c r="E9" s="187"/>
      <c r="F9" s="187"/>
      <c r="G9" s="187"/>
      <c r="H9" s="187"/>
    </row>
    <row r="10" spans="1:8" s="16" customFormat="1" ht="18" x14ac:dyDescent="0.35">
      <c r="A10" s="198" t="s">
        <v>131</v>
      </c>
      <c r="B10" s="199">
        <f>+[2]Hoja2!Y17</f>
        <v>874044.87</v>
      </c>
      <c r="C10" s="199">
        <f>+[2]Hoja2!H17</f>
        <v>724227.09</v>
      </c>
      <c r="D10" s="199">
        <f>Costs!F18</f>
        <v>613549.91999999993</v>
      </c>
      <c r="E10" s="199">
        <f>Costs!G18</f>
        <v>749626.34211026016</v>
      </c>
      <c r="F10" s="199">
        <f>Costs!H18</f>
        <v>841899.77850628085</v>
      </c>
      <c r="G10" s="199">
        <f>Costs!I18</f>
        <v>937247.97927702335</v>
      </c>
      <c r="H10" s="187"/>
    </row>
    <row r="11" spans="1:8" s="16" customFormat="1" ht="18" x14ac:dyDescent="0.35">
      <c r="A11" s="198"/>
      <c r="B11" s="199"/>
      <c r="C11" s="199"/>
      <c r="D11" s="199"/>
      <c r="E11" s="187"/>
      <c r="F11" s="187"/>
      <c r="G11" s="187"/>
      <c r="H11" s="187"/>
    </row>
    <row r="12" spans="1:8" s="16" customFormat="1" ht="18" x14ac:dyDescent="0.35">
      <c r="A12" s="211" t="s">
        <v>135</v>
      </c>
      <c r="B12" s="212">
        <f t="shared" ref="B12:G12" si="0">B8-B10</f>
        <v>691638.1</v>
      </c>
      <c r="C12" s="212">
        <f t="shared" si="0"/>
        <v>707407.18</v>
      </c>
      <c r="D12" s="212">
        <f t="shared" si="0"/>
        <v>843723.08000000007</v>
      </c>
      <c r="E12" s="212">
        <f t="shared" si="0"/>
        <v>1119325.3271401736</v>
      </c>
      <c r="F12" s="212">
        <f t="shared" si="0"/>
        <v>1330393.4006041875</v>
      </c>
      <c r="G12" s="212">
        <f t="shared" si="0"/>
        <v>1562654.0304822826</v>
      </c>
      <c r="H12" s="211"/>
    </row>
    <row r="13" spans="1:8" ht="13.8" x14ac:dyDescent="0.25">
      <c r="A13" s="187"/>
      <c r="B13" s="200"/>
      <c r="C13" s="200"/>
      <c r="D13" s="187"/>
      <c r="E13" s="187"/>
      <c r="F13" s="187"/>
      <c r="G13" s="187"/>
      <c r="H13" s="187"/>
    </row>
    <row r="14" spans="1:8" s="16" customFormat="1" ht="18" x14ac:dyDescent="0.35">
      <c r="A14" s="211" t="s">
        <v>136</v>
      </c>
      <c r="B14" s="212">
        <f t="shared" ref="B14:G14" si="1">B15+B20+B30+B33+B36+B40</f>
        <v>502763.41000000003</v>
      </c>
      <c r="C14" s="212">
        <f t="shared" si="1"/>
        <v>434102.06000000006</v>
      </c>
      <c r="D14" s="212">
        <f t="shared" si="1"/>
        <v>587083.32000000007</v>
      </c>
      <c r="E14" s="212">
        <f t="shared" si="1"/>
        <v>628575.25929999992</v>
      </c>
      <c r="F14" s="212">
        <f t="shared" si="1"/>
        <v>663220.50992300001</v>
      </c>
      <c r="G14" s="212">
        <f t="shared" si="1"/>
        <v>682602.29503604991</v>
      </c>
      <c r="H14" s="187"/>
    </row>
    <row r="15" spans="1:8" s="17" customFormat="1" ht="13.8" x14ac:dyDescent="0.25">
      <c r="A15" s="198" t="s">
        <v>280</v>
      </c>
      <c r="B15" s="199">
        <f>SUM(B16:B18)</f>
        <v>319866.60000000003</v>
      </c>
      <c r="C15" s="199">
        <f>SUM(C16:C18)</f>
        <v>250301.13</v>
      </c>
      <c r="D15" s="199">
        <f>Expenses!B7</f>
        <v>387744.33999999997</v>
      </c>
      <c r="E15" s="199">
        <f>Expenses!C7</f>
        <v>426518.77400000003</v>
      </c>
      <c r="F15" s="199">
        <f>Expenses!D7</f>
        <v>452109.90044</v>
      </c>
      <c r="G15" s="199">
        <f>Expenses!E7</f>
        <v>465673.1974532</v>
      </c>
      <c r="H15" s="198"/>
    </row>
    <row r="16" spans="1:8" s="22" customFormat="1" ht="13.8" hidden="1" outlineLevel="1" x14ac:dyDescent="0.25">
      <c r="A16" s="137" t="s">
        <v>107</v>
      </c>
      <c r="B16" s="200">
        <v>169409.55000000002</v>
      </c>
      <c r="C16" s="200">
        <v>200980.47</v>
      </c>
      <c r="D16" s="200">
        <f>SUM(D17:D18)</f>
        <v>0</v>
      </c>
      <c r="E16" s="187"/>
      <c r="F16" s="187"/>
      <c r="G16" s="187"/>
      <c r="H16" s="187"/>
    </row>
    <row r="17" spans="1:8" s="22" customFormat="1" ht="13.8" hidden="1" outlineLevel="1" x14ac:dyDescent="0.25">
      <c r="A17" s="137" t="s">
        <v>108</v>
      </c>
      <c r="B17" s="200">
        <f>+[2]Hoja2!Y28</f>
        <v>23418.65</v>
      </c>
      <c r="C17" s="200">
        <f>+[2]Hoja2!H28</f>
        <v>27963.55</v>
      </c>
      <c r="D17" s="200"/>
      <c r="E17" s="187"/>
      <c r="F17" s="187"/>
      <c r="G17" s="187"/>
      <c r="H17" s="187"/>
    </row>
    <row r="18" spans="1:8" s="22" customFormat="1" ht="13.8" hidden="1" outlineLevel="1" x14ac:dyDescent="0.25">
      <c r="A18" s="137" t="s">
        <v>281</v>
      </c>
      <c r="B18" s="200">
        <f>+[2]Hoja2!Y48</f>
        <v>127038.40000000001</v>
      </c>
      <c r="C18" s="200">
        <f>+[2]Hoja2!H48</f>
        <v>21357.11</v>
      </c>
      <c r="D18" s="200"/>
      <c r="E18" s="187"/>
      <c r="F18" s="187"/>
      <c r="G18" s="187"/>
      <c r="H18" s="187"/>
    </row>
    <row r="19" spans="1:8" s="22" customFormat="1" ht="13.8" hidden="1" outlineLevel="1" x14ac:dyDescent="0.25">
      <c r="A19" s="137"/>
      <c r="B19" s="200"/>
      <c r="C19" s="200"/>
      <c r="D19" s="200"/>
      <c r="E19" s="187"/>
      <c r="F19" s="187"/>
      <c r="G19" s="187"/>
      <c r="H19" s="187"/>
    </row>
    <row r="20" spans="1:8" s="17" customFormat="1" ht="13.8" collapsed="1" x14ac:dyDescent="0.25">
      <c r="A20" s="194" t="s">
        <v>282</v>
      </c>
      <c r="B20" s="199">
        <f>SUM(B21:B28)</f>
        <v>69213.48</v>
      </c>
      <c r="C20" s="199">
        <f>SUM(C21:C28)</f>
        <v>90702.82</v>
      </c>
      <c r="D20" s="199">
        <f>Expenses!B11</f>
        <v>152095.91999999998</v>
      </c>
      <c r="E20" s="199">
        <f>Expenses!C11</f>
        <v>155496.11239999998</v>
      </c>
      <c r="F20" s="199">
        <f>Expenses!D11</f>
        <v>164307.81221</v>
      </c>
      <c r="G20" s="199">
        <f>Expenses!E11</f>
        <v>170483.45433360001</v>
      </c>
      <c r="H20" s="198"/>
    </row>
    <row r="21" spans="1:8" s="22" customFormat="1" ht="13.8" hidden="1" outlineLevel="1" x14ac:dyDescent="0.25">
      <c r="A21" s="137" t="s">
        <v>283</v>
      </c>
      <c r="B21" s="200">
        <f>+[2]Hoja2!Y59</f>
        <v>0</v>
      </c>
      <c r="C21" s="200">
        <f>+[2]Hoja2!H59</f>
        <v>232.51</v>
      </c>
      <c r="D21" s="200"/>
      <c r="E21" s="187"/>
      <c r="F21" s="187"/>
      <c r="G21" s="187"/>
      <c r="H21" s="187"/>
    </row>
    <row r="22" spans="1:8" s="22" customFormat="1" ht="13.8" hidden="1" outlineLevel="1" x14ac:dyDescent="0.25">
      <c r="A22" s="137" t="s">
        <v>284</v>
      </c>
      <c r="B22" s="200">
        <f>+[2]Hoja2!Y26</f>
        <v>1876.81</v>
      </c>
      <c r="C22" s="200">
        <f>+[2]Hoja2!H26</f>
        <v>25313.96</v>
      </c>
      <c r="D22" s="200"/>
      <c r="E22" s="187"/>
      <c r="F22" s="187"/>
      <c r="G22" s="187"/>
      <c r="H22" s="187"/>
    </row>
    <row r="23" spans="1:8" s="22" customFormat="1" ht="13.8" hidden="1" outlineLevel="1" x14ac:dyDescent="0.25">
      <c r="A23" s="137" t="s">
        <v>285</v>
      </c>
      <c r="B23" s="200">
        <f>+[2]Hoja2!Y66</f>
        <v>6384.98</v>
      </c>
      <c r="C23" s="200">
        <f>+[2]Hoja2!H66</f>
        <v>2244.6399999999994</v>
      </c>
      <c r="D23" s="200"/>
      <c r="E23" s="187"/>
      <c r="F23" s="187"/>
      <c r="G23" s="187"/>
      <c r="H23" s="187"/>
    </row>
    <row r="24" spans="1:8" s="22" customFormat="1" ht="13.8" hidden="1" outlineLevel="1" x14ac:dyDescent="0.25">
      <c r="A24" s="137" t="s">
        <v>109</v>
      </c>
      <c r="B24" s="200">
        <f>+[2]Hoja2!Y63</f>
        <v>12362.01</v>
      </c>
      <c r="C24" s="200">
        <f>+[2]Hoja2!H63</f>
        <v>13012.76</v>
      </c>
      <c r="D24" s="200"/>
      <c r="E24" s="187"/>
      <c r="F24" s="187"/>
      <c r="G24" s="187"/>
      <c r="H24" s="187"/>
    </row>
    <row r="25" spans="1:8" s="22" customFormat="1" ht="13.8" hidden="1" outlineLevel="1" x14ac:dyDescent="0.25">
      <c r="A25" s="137" t="s">
        <v>110</v>
      </c>
      <c r="B25" s="200">
        <f>+[2]Hoja2!Y61</f>
        <v>16281.82</v>
      </c>
      <c r="C25" s="200">
        <f>+[2]Hoja2!H61</f>
        <v>15842.94</v>
      </c>
      <c r="D25" s="200"/>
      <c r="E25" s="187"/>
      <c r="F25" s="187"/>
      <c r="G25" s="187"/>
      <c r="H25" s="187"/>
    </row>
    <row r="26" spans="1:8" s="22" customFormat="1" ht="13.8" hidden="1" outlineLevel="1" x14ac:dyDescent="0.25">
      <c r="A26" s="137" t="s">
        <v>286</v>
      </c>
      <c r="B26" s="200">
        <f>+[2]Hoja2!Y62</f>
        <v>1319.39</v>
      </c>
      <c r="C26" s="200">
        <f>+[2]Hoja2!H62</f>
        <v>2555.88</v>
      </c>
      <c r="D26" s="200"/>
      <c r="E26" s="187"/>
      <c r="F26" s="187"/>
      <c r="G26" s="187"/>
      <c r="H26" s="187"/>
    </row>
    <row r="27" spans="1:8" s="22" customFormat="1" ht="13.8" hidden="1" outlineLevel="1" x14ac:dyDescent="0.25">
      <c r="A27" s="137" t="s">
        <v>111</v>
      </c>
      <c r="B27" s="200">
        <f>+[2]Hoja2!Y56</f>
        <v>4104.29</v>
      </c>
      <c r="C27" s="200">
        <f>+[2]Hoja2!H56</f>
        <v>2377.98</v>
      </c>
      <c r="D27" s="200"/>
      <c r="E27" s="187"/>
      <c r="F27" s="187"/>
      <c r="G27" s="187"/>
      <c r="H27" s="187"/>
    </row>
    <row r="28" spans="1:8" s="22" customFormat="1" ht="13.8" hidden="1" outlineLevel="1" x14ac:dyDescent="0.25">
      <c r="A28" s="137" t="s">
        <v>238</v>
      </c>
      <c r="B28" s="200">
        <f>+[2]Hoja2!Y34</f>
        <v>26884.18</v>
      </c>
      <c r="C28" s="200">
        <f>+[2]Hoja2!H34</f>
        <v>29122.15</v>
      </c>
      <c r="D28" s="200"/>
      <c r="E28" s="187"/>
      <c r="F28" s="187"/>
      <c r="G28" s="187"/>
      <c r="H28" s="187"/>
    </row>
    <row r="29" spans="1:8" s="22" customFormat="1" ht="13.8" hidden="1" outlineLevel="1" x14ac:dyDescent="0.25">
      <c r="A29" s="137"/>
      <c r="B29" s="200"/>
      <c r="C29" s="200"/>
      <c r="D29" s="200"/>
      <c r="E29" s="187"/>
      <c r="F29" s="187"/>
      <c r="G29" s="187"/>
      <c r="H29" s="187"/>
    </row>
    <row r="30" spans="1:8" s="17" customFormat="1" ht="13.8" collapsed="1" x14ac:dyDescent="0.25">
      <c r="A30" s="194" t="s">
        <v>287</v>
      </c>
      <c r="B30" s="199">
        <f>B31</f>
        <v>12773.220000000001</v>
      </c>
      <c r="C30" s="199">
        <f>C31</f>
        <v>7918.24</v>
      </c>
      <c r="D30" s="199">
        <f>Expenses!B23</f>
        <v>3425.64</v>
      </c>
      <c r="E30" s="199">
        <f>Expenses!C23</f>
        <v>2047.9095</v>
      </c>
      <c r="F30" s="199">
        <f>Expenses!D23</f>
        <v>2150.304975</v>
      </c>
      <c r="G30" s="199">
        <f>Expenses!E23</f>
        <v>2257.82022375</v>
      </c>
      <c r="H30" s="198"/>
    </row>
    <row r="31" spans="1:8" ht="13.8" outlineLevel="1" x14ac:dyDescent="0.25">
      <c r="A31" s="137" t="s">
        <v>288</v>
      </c>
      <c r="B31" s="200">
        <f>+[2]Hoja2!Y58</f>
        <v>12773.220000000001</v>
      </c>
      <c r="C31" s="200">
        <f>+[2]Hoja2!H58</f>
        <v>7918.24</v>
      </c>
      <c r="D31" s="200"/>
      <c r="E31" s="187"/>
      <c r="F31" s="187"/>
      <c r="G31" s="187"/>
      <c r="H31" s="187"/>
    </row>
    <row r="32" spans="1:8" ht="13.8" outlineLevel="1" x14ac:dyDescent="0.25">
      <c r="A32" s="137"/>
      <c r="B32" s="200"/>
      <c r="C32" s="200"/>
      <c r="D32" s="200"/>
      <c r="E32" s="187"/>
      <c r="F32" s="187"/>
      <c r="G32" s="187"/>
      <c r="H32" s="187"/>
    </row>
    <row r="33" spans="1:11" s="17" customFormat="1" ht="13.8" x14ac:dyDescent="0.25">
      <c r="A33" s="198" t="s">
        <v>289</v>
      </c>
      <c r="B33" s="199">
        <f>+B34</f>
        <v>51983.61</v>
      </c>
      <c r="C33" s="199">
        <f>+C34</f>
        <v>19027.07</v>
      </c>
      <c r="D33" s="199">
        <f>Expenses!B27</f>
        <v>13569.61</v>
      </c>
      <c r="E33" s="199">
        <f>Expenses!C27</f>
        <v>13054.741</v>
      </c>
      <c r="F33" s="199">
        <f>Expenses!D27</f>
        <v>12565.615449999999</v>
      </c>
      <c r="G33" s="199">
        <f>Expenses!E27</f>
        <v>12100.946177499998</v>
      </c>
      <c r="H33" s="198"/>
    </row>
    <row r="34" spans="1:11" s="22" customFormat="1" ht="13.8" hidden="1" outlineLevel="1" x14ac:dyDescent="0.25">
      <c r="A34" s="137" t="s">
        <v>290</v>
      </c>
      <c r="B34" s="200">
        <f>+[2]Hoja2!Y51</f>
        <v>51983.61</v>
      </c>
      <c r="C34" s="200">
        <f>+[2]Hoja2!H51</f>
        <v>19027.07</v>
      </c>
      <c r="D34" s="200"/>
      <c r="E34" s="187"/>
      <c r="F34" s="187"/>
      <c r="G34" s="187"/>
      <c r="H34" s="187"/>
    </row>
    <row r="35" spans="1:11" s="22" customFormat="1" ht="13.8" hidden="1" outlineLevel="1" x14ac:dyDescent="0.25">
      <c r="A35" s="137"/>
      <c r="B35" s="200"/>
      <c r="C35" s="200"/>
      <c r="D35" s="200"/>
      <c r="E35" s="187"/>
      <c r="F35" s="187"/>
      <c r="G35" s="187"/>
      <c r="H35" s="187"/>
    </row>
    <row r="36" spans="1:11" s="17" customFormat="1" ht="13.8" collapsed="1" x14ac:dyDescent="0.25">
      <c r="A36" s="198" t="s">
        <v>251</v>
      </c>
      <c r="B36" s="199">
        <f>SUM(B37:B38)</f>
        <v>50384.99</v>
      </c>
      <c r="C36" s="199">
        <f>SUM(C37:C38)</f>
        <v>49059.590000000004</v>
      </c>
      <c r="D36" s="199">
        <f>Expenses!B31</f>
        <v>30247.809999999998</v>
      </c>
      <c r="E36" s="199">
        <f>Expenses!C31</f>
        <v>31457.722399999999</v>
      </c>
      <c r="F36" s="199">
        <f>Expenses!D31</f>
        <v>32086.876848</v>
      </c>
      <c r="G36" s="199">
        <f>Expenses!E31</f>
        <v>32086.876848</v>
      </c>
      <c r="H36" s="198"/>
    </row>
    <row r="37" spans="1:11" s="22" customFormat="1" ht="13.8" hidden="1" outlineLevel="1" x14ac:dyDescent="0.25">
      <c r="A37" s="137" t="s">
        <v>291</v>
      </c>
      <c r="B37" s="200">
        <f>+[2]Hoja2!Y46</f>
        <v>21929.759999999998</v>
      </c>
      <c r="C37" s="200">
        <f>+[2]Hoja2!H46</f>
        <v>23394.47</v>
      </c>
      <c r="D37" s="200"/>
      <c r="E37" s="187"/>
      <c r="F37" s="187"/>
      <c r="G37" s="187"/>
      <c r="H37" s="187"/>
    </row>
    <row r="38" spans="1:11" s="22" customFormat="1" ht="13.8" hidden="1" outlineLevel="1" x14ac:dyDescent="0.25">
      <c r="A38" s="137" t="s">
        <v>292</v>
      </c>
      <c r="B38" s="200">
        <f>+[2]Hoja2!Y39+480.93</f>
        <v>28455.23</v>
      </c>
      <c r="C38" s="200">
        <f>+[2]Hoja2!H39</f>
        <v>25665.120000000003</v>
      </c>
      <c r="D38" s="200"/>
      <c r="E38" s="187"/>
      <c r="F38" s="187"/>
      <c r="G38" s="187"/>
      <c r="H38" s="187"/>
    </row>
    <row r="39" spans="1:11" s="22" customFormat="1" ht="13.8" hidden="1" outlineLevel="1" x14ac:dyDescent="0.25">
      <c r="A39" s="137"/>
      <c r="B39" s="200"/>
      <c r="C39" s="200"/>
      <c r="D39" s="200"/>
      <c r="E39" s="187"/>
      <c r="F39" s="187"/>
      <c r="G39" s="187"/>
      <c r="H39" s="187"/>
    </row>
    <row r="40" spans="1:11" s="17" customFormat="1" ht="13.8" collapsed="1" x14ac:dyDescent="0.25">
      <c r="A40" s="201" t="s">
        <v>293</v>
      </c>
      <c r="B40" s="202">
        <f t="shared" ref="B40:G40" si="2">SUM(B41:B43)</f>
        <v>-1458.4899999999993</v>
      </c>
      <c r="C40" s="202">
        <f t="shared" si="2"/>
        <v>17093.21</v>
      </c>
      <c r="D40" s="202">
        <f t="shared" si="2"/>
        <v>0</v>
      </c>
      <c r="E40" s="202">
        <f t="shared" si="2"/>
        <v>0</v>
      </c>
      <c r="F40" s="202">
        <f t="shared" si="2"/>
        <v>0</v>
      </c>
      <c r="G40" s="202">
        <f t="shared" si="2"/>
        <v>0</v>
      </c>
      <c r="H40" s="201"/>
      <c r="K40" s="14"/>
    </row>
    <row r="41" spans="1:11" s="23" customFormat="1" ht="13.8" hidden="1" outlineLevel="1" x14ac:dyDescent="0.25">
      <c r="A41" s="187" t="s">
        <v>294</v>
      </c>
      <c r="B41" s="200">
        <v>-28876.26</v>
      </c>
      <c r="C41" s="200">
        <v>-6045</v>
      </c>
      <c r="D41" s="200"/>
      <c r="E41" s="200"/>
      <c r="F41" s="200"/>
      <c r="G41" s="200"/>
      <c r="H41" s="198"/>
    </row>
    <row r="42" spans="1:11" s="22" customFormat="1" ht="13.8" hidden="1" outlineLevel="1" x14ac:dyDescent="0.25">
      <c r="A42" s="137" t="s">
        <v>295</v>
      </c>
      <c r="B42" s="200">
        <f>+[2]Hoja2!Y32</f>
        <v>26895.71</v>
      </c>
      <c r="C42" s="200">
        <f>+[2]Hoja2!H32</f>
        <v>22853.21</v>
      </c>
      <c r="D42" s="200"/>
      <c r="E42" s="187"/>
      <c r="F42" s="187"/>
      <c r="G42" s="187"/>
      <c r="H42" s="187"/>
    </row>
    <row r="43" spans="1:11" s="22" customFormat="1" ht="13.8" hidden="1" outlineLevel="1" x14ac:dyDescent="0.25">
      <c r="A43" s="137" t="s">
        <v>296</v>
      </c>
      <c r="B43" s="200">
        <f>+[2]Hoja2!Y27</f>
        <v>522.05999999999995</v>
      </c>
      <c r="C43" s="200">
        <f>+[2]Hoja2!H27</f>
        <v>285</v>
      </c>
      <c r="D43" s="200">
        <v>0</v>
      </c>
      <c r="E43" s="187"/>
      <c r="F43" s="187"/>
      <c r="G43" s="187"/>
      <c r="H43" s="187"/>
    </row>
    <row r="44" spans="1:11" s="22" customFormat="1" ht="13.8" collapsed="1" x14ac:dyDescent="0.25">
      <c r="A44" s="137"/>
      <c r="B44" s="200"/>
      <c r="C44" s="200"/>
      <c r="D44" s="200"/>
      <c r="E44" s="187"/>
      <c r="F44" s="187"/>
      <c r="G44" s="187"/>
      <c r="H44" s="187"/>
    </row>
    <row r="45" spans="1:11" ht="13.8" x14ac:dyDescent="0.25">
      <c r="A45" s="211" t="s">
        <v>165</v>
      </c>
      <c r="B45" s="212">
        <f t="shared" ref="B45:G45" si="3">+B12-B14</f>
        <v>188874.68999999994</v>
      </c>
      <c r="C45" s="212">
        <f t="shared" si="3"/>
        <v>273305.12</v>
      </c>
      <c r="D45" s="212">
        <f t="shared" si="3"/>
        <v>256639.76</v>
      </c>
      <c r="E45" s="212">
        <f t="shared" si="3"/>
        <v>490750.06784017372</v>
      </c>
      <c r="F45" s="212">
        <f t="shared" si="3"/>
        <v>667172.89068118751</v>
      </c>
      <c r="G45" s="212">
        <f t="shared" si="3"/>
        <v>880051.73544623272</v>
      </c>
      <c r="H45" s="211"/>
    </row>
    <row r="46" spans="1:11" ht="13.8" x14ac:dyDescent="0.25">
      <c r="A46" s="198"/>
      <c r="B46" s="199"/>
      <c r="C46" s="199"/>
      <c r="D46" s="199"/>
      <c r="E46" s="199"/>
      <c r="F46" s="199"/>
      <c r="G46" s="199"/>
      <c r="H46" s="187"/>
    </row>
    <row r="47" spans="1:11" s="15" customFormat="1" ht="15.6" x14ac:dyDescent="0.3">
      <c r="A47" s="194" t="s">
        <v>297</v>
      </c>
      <c r="B47" s="199">
        <f>+[2]Hoja2!Y38+7044.25</f>
        <v>52540.36</v>
      </c>
      <c r="C47" s="199">
        <f>+[2]Hoja2!H38</f>
        <v>80331.23</v>
      </c>
      <c r="D47" s="199">
        <f>C47*90%</f>
        <v>72298.107000000004</v>
      </c>
      <c r="E47" s="199">
        <f>D47*118%</f>
        <v>85311.766260000004</v>
      </c>
      <c r="F47" s="199">
        <f>E47*90%</f>
        <v>76780.589634000004</v>
      </c>
      <c r="G47" s="199">
        <f>F47*90%</f>
        <v>69102.530670600012</v>
      </c>
      <c r="H47" s="198"/>
    </row>
    <row r="48" spans="1:11" s="17" customFormat="1" ht="13.8" collapsed="1" x14ac:dyDescent="0.25">
      <c r="A48" s="194" t="s">
        <v>252</v>
      </c>
      <c r="B48" s="199">
        <f t="shared" ref="B48:G48" si="4">SUM(B49:B50)</f>
        <v>62369.46</v>
      </c>
      <c r="C48" s="199">
        <f t="shared" si="4"/>
        <v>58377.81</v>
      </c>
      <c r="D48" s="199">
        <f t="shared" si="4"/>
        <v>91034.5</v>
      </c>
      <c r="E48" s="199">
        <f t="shared" si="4"/>
        <v>91034.5</v>
      </c>
      <c r="F48" s="199">
        <f t="shared" si="4"/>
        <v>91034.5</v>
      </c>
      <c r="G48" s="199">
        <f t="shared" si="4"/>
        <v>91034.5</v>
      </c>
      <c r="H48" s="198"/>
    </row>
    <row r="49" spans="1:8" s="23" customFormat="1" ht="13.8" hidden="1" outlineLevel="1" x14ac:dyDescent="0.25">
      <c r="A49" s="187" t="s">
        <v>298</v>
      </c>
      <c r="B49" s="200">
        <v>62369.46</v>
      </c>
      <c r="C49" s="200">
        <v>58377.81</v>
      </c>
      <c r="D49" s="200">
        <f>Expenses!B33</f>
        <v>91034.5</v>
      </c>
      <c r="E49" s="200">
        <f>Expenses!C33</f>
        <v>91034.5</v>
      </c>
      <c r="F49" s="200">
        <f>Expenses!D33</f>
        <v>91034.5</v>
      </c>
      <c r="G49" s="200">
        <f>Expenses!E33</f>
        <v>91034.5</v>
      </c>
      <c r="H49" s="198"/>
    </row>
    <row r="50" spans="1:8" ht="13.8" collapsed="1" x14ac:dyDescent="0.25">
      <c r="A50" s="193"/>
      <c r="B50" s="193"/>
      <c r="C50" s="193"/>
      <c r="D50" s="193"/>
      <c r="E50" s="193"/>
      <c r="F50" s="193"/>
      <c r="G50" s="193"/>
      <c r="H50" s="193"/>
    </row>
    <row r="51" spans="1:8" s="22" customFormat="1" ht="13.8" x14ac:dyDescent="0.25">
      <c r="A51" s="137"/>
      <c r="B51" s="200"/>
      <c r="C51" s="200"/>
      <c r="D51" s="200"/>
      <c r="E51" s="187"/>
      <c r="F51" s="187"/>
      <c r="G51" s="187"/>
      <c r="H51" s="187"/>
    </row>
    <row r="52" spans="1:8" ht="13.8" hidden="1" outlineLevel="1" x14ac:dyDescent="0.25">
      <c r="A52" s="198" t="s">
        <v>299</v>
      </c>
      <c r="B52" s="200"/>
      <c r="C52" s="200"/>
      <c r="D52" s="187"/>
      <c r="E52" s="187"/>
      <c r="F52" s="187"/>
      <c r="G52" s="187"/>
      <c r="H52" s="187"/>
    </row>
    <row r="53" spans="1:8" ht="13.8" hidden="1" outlineLevel="1" x14ac:dyDescent="0.25">
      <c r="A53" s="187" t="s">
        <v>112</v>
      </c>
      <c r="B53" s="200">
        <f>18512.46+287.08</f>
        <v>18799.54</v>
      </c>
      <c r="C53" s="200">
        <v>12470.25</v>
      </c>
      <c r="D53" s="200">
        <v>0</v>
      </c>
      <c r="E53" s="200">
        <v>0</v>
      </c>
      <c r="F53" s="200">
        <v>0</v>
      </c>
      <c r="G53" s="200">
        <v>0</v>
      </c>
      <c r="H53" s="187"/>
    </row>
    <row r="54" spans="1:8" ht="13.8" hidden="1" outlineLevel="1" x14ac:dyDescent="0.25">
      <c r="A54" s="187" t="s">
        <v>113</v>
      </c>
      <c r="B54" s="200">
        <v>0</v>
      </c>
      <c r="C54" s="200">
        <v>21250</v>
      </c>
      <c r="D54" s="200">
        <v>0</v>
      </c>
      <c r="E54" s="200">
        <v>0</v>
      </c>
      <c r="F54" s="200">
        <v>0</v>
      </c>
      <c r="G54" s="200">
        <v>0</v>
      </c>
      <c r="H54" s="187"/>
    </row>
    <row r="55" spans="1:8" ht="13.8" hidden="1" outlineLevel="1" x14ac:dyDescent="0.25">
      <c r="A55" s="187" t="s">
        <v>114</v>
      </c>
      <c r="B55" s="200">
        <v>0</v>
      </c>
      <c r="C55" s="200">
        <v>-5821</v>
      </c>
      <c r="D55" s="200">
        <v>0</v>
      </c>
      <c r="E55" s="200">
        <v>0</v>
      </c>
      <c r="F55" s="200">
        <v>0</v>
      </c>
      <c r="G55" s="200">
        <v>0</v>
      </c>
      <c r="H55" s="187"/>
    </row>
    <row r="56" spans="1:8" ht="13.8" collapsed="1" x14ac:dyDescent="0.25">
      <c r="A56" s="211" t="s">
        <v>300</v>
      </c>
      <c r="B56" s="212">
        <f>ROUND(SUM(B53:B55),2)</f>
        <v>18799.54</v>
      </c>
      <c r="C56" s="212">
        <f>ROUND(SUM(C53:C55),2)</f>
        <v>27899.25</v>
      </c>
      <c r="D56" s="212">
        <f>(D45-D47-D48)*0.3</f>
        <v>27992.145899999996</v>
      </c>
      <c r="E56" s="212">
        <f>(E45-E47-E48)*0.3</f>
        <v>94321.14047405211</v>
      </c>
      <c r="F56" s="212">
        <f>(F45-F47-F48)*0.3</f>
        <v>149807.34031415626</v>
      </c>
      <c r="G56" s="212">
        <f>(G45-G47-G48)*0.3</f>
        <v>215974.41143268981</v>
      </c>
      <c r="H56" s="211"/>
    </row>
    <row r="57" spans="1:8" ht="13.8" x14ac:dyDescent="0.25">
      <c r="A57" s="187"/>
      <c r="B57" s="203"/>
      <c r="C57" s="203"/>
      <c r="D57" s="187"/>
      <c r="E57" s="187"/>
      <c r="F57" s="187"/>
      <c r="G57" s="187"/>
      <c r="H57" s="187"/>
    </row>
    <row r="58" spans="1:8" ht="13.8" x14ac:dyDescent="0.25">
      <c r="A58" s="198" t="s">
        <v>115</v>
      </c>
      <c r="B58" s="204">
        <f t="shared" ref="B58:G58" si="5">B45-B47-B48-B56</f>
        <v>55165.329999999965</v>
      </c>
      <c r="C58" s="204">
        <f t="shared" si="5"/>
        <v>106696.83000000002</v>
      </c>
      <c r="D58" s="204">
        <f t="shared" si="5"/>
        <v>65315.007099999995</v>
      </c>
      <c r="E58" s="204">
        <f t="shared" si="5"/>
        <v>220082.66110612161</v>
      </c>
      <c r="F58" s="204">
        <f>F45-F47-F48-F56</f>
        <v>349550.46073303127</v>
      </c>
      <c r="G58" s="204">
        <f t="shared" si="5"/>
        <v>503940.2933429429</v>
      </c>
      <c r="H58" s="187"/>
    </row>
    <row r="59" spans="1:8" ht="13.8" x14ac:dyDescent="0.25">
      <c r="A59" s="187"/>
      <c r="B59" s="205"/>
      <c r="C59" s="187"/>
      <c r="D59" s="187"/>
      <c r="E59" s="187"/>
      <c r="F59" s="187"/>
      <c r="G59" s="187"/>
      <c r="H59" s="187"/>
    </row>
    <row r="60" spans="1:8" ht="13.8" x14ac:dyDescent="0.25">
      <c r="A60" s="187"/>
      <c r="B60" s="205"/>
      <c r="C60" s="187"/>
      <c r="D60" s="187"/>
      <c r="E60" s="187"/>
      <c r="F60" s="187"/>
      <c r="G60" s="187"/>
      <c r="H60" s="187"/>
    </row>
    <row r="61" spans="1:8" ht="13.8" x14ac:dyDescent="0.25">
      <c r="A61" s="187"/>
      <c r="B61" s="205"/>
      <c r="C61" s="187"/>
      <c r="D61" s="187"/>
      <c r="E61" s="187"/>
      <c r="F61" s="187"/>
      <c r="G61" s="187"/>
      <c r="H61" s="187"/>
    </row>
    <row r="62" spans="1:8" ht="13.8" x14ac:dyDescent="0.25">
      <c r="A62" s="206" t="s">
        <v>301</v>
      </c>
      <c r="B62" s="207"/>
      <c r="C62" s="208">
        <f>C8/B8-1</f>
        <v>-8.5616758033716045E-2</v>
      </c>
      <c r="D62" s="208">
        <f>D8/C8-1</f>
        <v>1.7908714912224122E-2</v>
      </c>
      <c r="E62" s="208">
        <f>E8/D8-1</f>
        <v>0.28249934586754422</v>
      </c>
      <c r="F62" s="208">
        <f>F8/E8-1</f>
        <v>0.16230570049020776</v>
      </c>
      <c r="G62" s="208">
        <f>G8/F8-1</f>
        <v>0.15081243811803979</v>
      </c>
      <c r="H62" s="187"/>
    </row>
    <row r="63" spans="1:8" ht="13.8" x14ac:dyDescent="0.25">
      <c r="A63" s="206" t="s">
        <v>302</v>
      </c>
      <c r="B63" s="207"/>
      <c r="C63" s="208">
        <f>C10/B10-1</f>
        <v>-0.17140742442662016</v>
      </c>
      <c r="D63" s="208">
        <f>D10/C10-1</f>
        <v>-0.15282108544158446</v>
      </c>
      <c r="E63" s="208">
        <f>E10/D10-1</f>
        <v>0.22178541252235884</v>
      </c>
      <c r="F63" s="208">
        <f>F10/E10-1</f>
        <v>0.12309257454355649</v>
      </c>
      <c r="G63" s="208">
        <f>G10/F10-1</f>
        <v>0.11325362377444925</v>
      </c>
      <c r="H63" s="187"/>
    </row>
    <row r="64" spans="1:8" ht="13.8" x14ac:dyDescent="0.25">
      <c r="A64" s="206" t="s">
        <v>303</v>
      </c>
      <c r="B64" s="207"/>
      <c r="C64" s="208">
        <f>C14/B14-1</f>
        <v>-0.13656791372307697</v>
      </c>
      <c r="D64" s="208">
        <f>D14/C14-1</f>
        <v>0.35240850964862958</v>
      </c>
      <c r="E64" s="208">
        <f>E14/D14-1</f>
        <v>7.0674703038743791E-2</v>
      </c>
      <c r="F64" s="208">
        <f>F14/E14-1</f>
        <v>5.5117108270506865E-2</v>
      </c>
      <c r="G64" s="208">
        <f>G14/F14-1</f>
        <v>2.9223742063254621E-2</v>
      </c>
      <c r="H64" s="187"/>
    </row>
    <row r="65" spans="1:8" ht="13.8" x14ac:dyDescent="0.25">
      <c r="A65" s="187"/>
      <c r="B65" s="187"/>
      <c r="C65" s="187"/>
      <c r="D65" s="187"/>
      <c r="E65" s="187"/>
      <c r="F65" s="187"/>
      <c r="G65" s="187"/>
      <c r="H65" s="187"/>
    </row>
    <row r="66" spans="1:8" s="18" customFormat="1" ht="13.8" x14ac:dyDescent="0.25">
      <c r="A66" s="206" t="s">
        <v>204</v>
      </c>
      <c r="B66" s="208">
        <f t="shared" ref="B66:G66" si="6">B12/B$8</f>
        <v>0.44174849778176994</v>
      </c>
      <c r="C66" s="208">
        <f t="shared" si="6"/>
        <v>0.49412562609303845</v>
      </c>
      <c r="D66" s="208">
        <f t="shared" si="6"/>
        <v>0.57897393281835319</v>
      </c>
      <c r="E66" s="208">
        <f t="shared" si="6"/>
        <v>0.5989054428513354</v>
      </c>
      <c r="F66" s="208">
        <f t="shared" si="6"/>
        <v>0.61243731435411952</v>
      </c>
      <c r="G66" s="208">
        <f t="shared" si="6"/>
        <v>0.62508611312838502</v>
      </c>
      <c r="H66" s="26"/>
    </row>
    <row r="67" spans="1:8" s="18" customFormat="1" ht="13.8" x14ac:dyDescent="0.25">
      <c r="A67" s="206" t="s">
        <v>205</v>
      </c>
      <c r="B67" s="208">
        <f t="shared" ref="B67:G67" si="7">B45/B$8</f>
        <v>0.12063405786421752</v>
      </c>
      <c r="C67" s="208">
        <f t="shared" si="7"/>
        <v>0.19090428730795889</v>
      </c>
      <c r="D67" s="208">
        <f t="shared" si="7"/>
        <v>0.17610959648603935</v>
      </c>
      <c r="E67" s="208">
        <f t="shared" si="7"/>
        <v>0.26258039515649706</v>
      </c>
      <c r="F67" s="208">
        <f t="shared" si="7"/>
        <v>0.30712838262208597</v>
      </c>
      <c r="G67" s="208">
        <f t="shared" si="7"/>
        <v>0.35203449255635638</v>
      </c>
      <c r="H67" s="26"/>
    </row>
    <row r="68" spans="1:8" s="18" customFormat="1" ht="13.8" x14ac:dyDescent="0.25">
      <c r="A68" s="209" t="s">
        <v>206</v>
      </c>
      <c r="B68" s="208">
        <f t="shared" ref="B68:G68" si="8">B58/B$8</f>
        <v>3.5234035917245728E-2</v>
      </c>
      <c r="C68" s="208">
        <f t="shared" si="8"/>
        <v>7.4527993801098383E-2</v>
      </c>
      <c r="D68" s="208">
        <f t="shared" si="8"/>
        <v>4.4820021437301037E-2</v>
      </c>
      <c r="E68" s="208">
        <f t="shared" si="8"/>
        <v>0.11775727790456374</v>
      </c>
      <c r="F68" s="208">
        <f t="shared" si="8"/>
        <v>0.16091311435050795</v>
      </c>
      <c r="G68" s="208">
        <f t="shared" si="8"/>
        <v>0.20158401864377995</v>
      </c>
      <c r="H68" s="26"/>
    </row>
    <row r="69" spans="1:8" s="18" customFormat="1" ht="13.8" x14ac:dyDescent="0.25">
      <c r="A69" s="210"/>
      <c r="B69" s="210"/>
      <c r="C69" s="210"/>
      <c r="D69" s="210"/>
      <c r="E69" s="210"/>
      <c r="F69" s="210"/>
      <c r="G69" s="210"/>
      <c r="H69" s="210"/>
    </row>
    <row r="70" spans="1:8" customFormat="1" ht="15.6" x14ac:dyDescent="0.3">
      <c r="A70" s="44" t="s">
        <v>304</v>
      </c>
      <c r="B70" s="44"/>
      <c r="C70" s="44"/>
      <c r="D70" s="44"/>
      <c r="E70" s="44"/>
      <c r="F70" s="44"/>
      <c r="G70" s="44"/>
      <c r="H70" s="44"/>
    </row>
    <row r="71" spans="1:8" customFormat="1" ht="15.6" x14ac:dyDescent="0.3">
      <c r="A71" s="44"/>
      <c r="B71" s="44"/>
      <c r="C71" s="44"/>
      <c r="D71" s="44"/>
      <c r="E71" s="44"/>
      <c r="F71" s="44"/>
      <c r="G71" s="44"/>
      <c r="H71" s="44"/>
    </row>
    <row r="72" spans="1:8" customFormat="1" ht="15.6" x14ac:dyDescent="0.3">
      <c r="A72" s="44"/>
      <c r="B72" s="44"/>
      <c r="C72" s="44"/>
      <c r="D72" s="44"/>
      <c r="E72" s="44"/>
      <c r="F72" s="44"/>
      <c r="G72" s="44"/>
      <c r="H72" s="44"/>
    </row>
    <row r="73" spans="1:8" customFormat="1" ht="15.6" x14ac:dyDescent="0.3">
      <c r="A73" s="44"/>
      <c r="B73" s="44"/>
      <c r="C73" s="44"/>
      <c r="D73" s="44"/>
      <c r="E73" s="44"/>
      <c r="F73" s="44"/>
      <c r="G73" s="44"/>
      <c r="H73" s="44"/>
    </row>
    <row r="74" spans="1:8" customFormat="1" ht="15.6" x14ac:dyDescent="0.3">
      <c r="A74" s="44"/>
      <c r="B74" s="44"/>
      <c r="C74" s="44"/>
      <c r="D74" s="44"/>
      <c r="E74" s="44"/>
      <c r="F74" s="44"/>
      <c r="G74" s="44"/>
      <c r="H74" s="44"/>
    </row>
    <row r="75" spans="1:8" customFormat="1" ht="15.6" x14ac:dyDescent="0.3">
      <c r="A75" s="44"/>
      <c r="B75" s="44"/>
      <c r="C75" s="44"/>
      <c r="D75" s="44"/>
      <c r="E75" s="44"/>
      <c r="F75" s="44"/>
      <c r="G75" s="44"/>
      <c r="H75" s="44"/>
    </row>
    <row r="76" spans="1:8" customFormat="1" ht="15.6" x14ac:dyDescent="0.3">
      <c r="A76" s="44"/>
      <c r="B76" s="44"/>
      <c r="C76" s="44"/>
      <c r="D76" s="44"/>
      <c r="E76" s="44"/>
      <c r="F76" s="44"/>
      <c r="G76" s="44"/>
      <c r="H76" s="44"/>
    </row>
    <row r="77" spans="1:8" customFormat="1" ht="15.6" x14ac:dyDescent="0.3">
      <c r="A77" s="44"/>
      <c r="B77" s="44"/>
      <c r="C77" s="44"/>
      <c r="D77" s="44"/>
      <c r="E77" s="44"/>
      <c r="F77" s="44"/>
      <c r="G77" s="44"/>
      <c r="H77" s="44"/>
    </row>
    <row r="78" spans="1:8" customFormat="1" ht="15.6" x14ac:dyDescent="0.3">
      <c r="A78" s="44"/>
      <c r="B78" s="44"/>
      <c r="C78" s="44"/>
      <c r="D78" s="44"/>
      <c r="E78" s="44"/>
      <c r="F78" s="44"/>
      <c r="G78" s="44"/>
      <c r="H78" s="44"/>
    </row>
    <row r="79" spans="1:8" customFormat="1" ht="15.6" x14ac:dyDescent="0.3">
      <c r="A79" s="44"/>
      <c r="B79" s="44"/>
      <c r="C79" s="44"/>
      <c r="D79" s="44"/>
      <c r="E79" s="44"/>
      <c r="F79" s="44"/>
      <c r="G79" s="44"/>
      <c r="H79" s="44"/>
    </row>
    <row r="80" spans="1:8" customFormat="1" ht="15.6" x14ac:dyDescent="0.3">
      <c r="A80" s="44"/>
      <c r="B80" s="44"/>
      <c r="C80" s="44"/>
      <c r="D80" s="44"/>
      <c r="E80" s="44"/>
      <c r="F80" s="44"/>
      <c r="G80" s="44"/>
      <c r="H80" s="44"/>
    </row>
    <row r="81" spans="1:8" customFormat="1" ht="15.6" x14ac:dyDescent="0.3">
      <c r="A81" s="44"/>
      <c r="B81" s="44"/>
      <c r="C81" s="44"/>
      <c r="D81" s="44"/>
      <c r="E81" s="44"/>
      <c r="F81" s="44"/>
      <c r="G81" s="44"/>
      <c r="H81" s="44"/>
    </row>
    <row r="82" spans="1:8" customFormat="1" ht="15.6" x14ac:dyDescent="0.3">
      <c r="A82" s="44"/>
      <c r="B82" s="44"/>
      <c r="C82" s="44"/>
      <c r="D82" s="44"/>
      <c r="E82" s="44"/>
      <c r="F82" s="44"/>
      <c r="G82" s="44"/>
      <c r="H82" s="44"/>
    </row>
    <row r="83" spans="1:8" customFormat="1" ht="15.6" x14ac:dyDescent="0.3">
      <c r="A83" s="44"/>
      <c r="B83" s="44"/>
      <c r="C83" s="44"/>
      <c r="D83" s="44"/>
      <c r="E83" s="44"/>
      <c r="F83" s="44"/>
      <c r="G83" s="44"/>
      <c r="H83" s="44"/>
    </row>
    <row r="84" spans="1:8" customFormat="1" ht="15.6" x14ac:dyDescent="0.3">
      <c r="A84" s="44"/>
      <c r="B84" s="44"/>
      <c r="C84" s="44"/>
      <c r="D84" s="44"/>
      <c r="E84" s="44"/>
      <c r="F84" s="44"/>
      <c r="G84" s="44"/>
      <c r="H84" s="44"/>
    </row>
    <row r="85" spans="1:8" customFormat="1" ht="15.6" x14ac:dyDescent="0.3">
      <c r="A85" s="44"/>
      <c r="B85" s="44"/>
      <c r="C85" s="44"/>
      <c r="D85" s="44"/>
      <c r="E85" s="44"/>
      <c r="F85" s="44"/>
      <c r="G85" s="44"/>
      <c r="H85" s="44"/>
    </row>
    <row r="86" spans="1:8" customFormat="1" ht="15.6" x14ac:dyDescent="0.3">
      <c r="A86" s="44"/>
      <c r="B86" s="44"/>
      <c r="C86" s="44"/>
      <c r="D86" s="44"/>
      <c r="E86" s="44"/>
      <c r="F86" s="44"/>
      <c r="G86" s="44"/>
      <c r="H86" s="44"/>
    </row>
    <row r="87" spans="1:8" customFormat="1" ht="15.6" x14ac:dyDescent="0.3">
      <c r="A87" s="44"/>
      <c r="B87" s="44"/>
      <c r="C87" s="44"/>
      <c r="D87" s="44"/>
      <c r="E87" s="44"/>
      <c r="F87" s="44"/>
      <c r="G87" s="44"/>
      <c r="H87" s="44"/>
    </row>
    <row r="88" spans="1:8" customFormat="1" ht="15.6" x14ac:dyDescent="0.3">
      <c r="A88" s="44"/>
      <c r="B88" s="44"/>
      <c r="C88" s="44"/>
      <c r="D88" s="44"/>
      <c r="E88" s="44"/>
      <c r="F88" s="44"/>
      <c r="G88" s="44"/>
      <c r="H88" s="44"/>
    </row>
    <row r="89" spans="1:8" customFormat="1" ht="15.6" x14ac:dyDescent="0.3">
      <c r="A89" s="44"/>
      <c r="B89" s="44"/>
      <c r="C89" s="44"/>
      <c r="D89" s="44"/>
      <c r="E89" s="44"/>
      <c r="F89" s="44"/>
      <c r="G89" s="44"/>
      <c r="H89" s="44"/>
    </row>
    <row r="90" spans="1:8" customFormat="1" ht="15.6" x14ac:dyDescent="0.3">
      <c r="A90" s="44"/>
      <c r="B90" s="44"/>
      <c r="C90" s="44"/>
      <c r="D90" s="44"/>
      <c r="E90" s="44"/>
      <c r="F90" s="44"/>
      <c r="G90" s="44"/>
      <c r="H90" s="44"/>
    </row>
    <row r="91" spans="1:8" customFormat="1" ht="15.6" x14ac:dyDescent="0.3">
      <c r="A91" s="44"/>
      <c r="B91" s="44"/>
      <c r="C91" s="44"/>
      <c r="D91" s="44"/>
      <c r="E91" s="44"/>
      <c r="F91" s="44"/>
      <c r="G91" s="44"/>
      <c r="H91" s="44"/>
    </row>
    <row r="92" spans="1:8" customFormat="1" ht="15.6" x14ac:dyDescent="0.3">
      <c r="A92" s="44"/>
      <c r="B92" s="44"/>
      <c r="C92" s="44"/>
      <c r="D92" s="44"/>
      <c r="E92" s="44"/>
      <c r="F92" s="44"/>
      <c r="G92" s="44"/>
      <c r="H92" s="44"/>
    </row>
    <row r="93" spans="1:8" customFormat="1" ht="15.6" x14ac:dyDescent="0.3">
      <c r="A93" s="44"/>
      <c r="B93" s="44"/>
      <c r="C93" s="44"/>
      <c r="D93" s="44"/>
      <c r="E93" s="44"/>
      <c r="F93" s="44"/>
      <c r="G93" s="44"/>
      <c r="H93" s="44"/>
    </row>
    <row r="94" spans="1:8" customFormat="1" ht="15.6" x14ac:dyDescent="0.3">
      <c r="A94" s="44"/>
      <c r="B94" s="44"/>
      <c r="C94" s="44"/>
      <c r="D94" s="44"/>
      <c r="E94" s="44"/>
      <c r="F94" s="44"/>
      <c r="G94" s="44"/>
      <c r="H94" s="44"/>
    </row>
    <row r="95" spans="1:8" customFormat="1" ht="15.6" x14ac:dyDescent="0.3">
      <c r="A95" s="44"/>
      <c r="B95" s="44"/>
      <c r="C95" s="44"/>
      <c r="D95" s="44"/>
      <c r="E95" s="44"/>
      <c r="F95" s="44"/>
      <c r="G95" s="44"/>
      <c r="H95" s="44"/>
    </row>
    <row r="96" spans="1:8" customFormat="1" ht="15.6" x14ac:dyDescent="0.3">
      <c r="A96" s="44"/>
      <c r="B96" s="44"/>
      <c r="C96" s="44"/>
      <c r="D96" s="44"/>
      <c r="E96" s="44"/>
      <c r="F96" s="44"/>
      <c r="G96" s="44"/>
      <c r="H96" s="44"/>
    </row>
    <row r="97" spans="1:8" customFormat="1" ht="15.6" x14ac:dyDescent="0.3">
      <c r="A97" s="44"/>
      <c r="B97" s="44"/>
      <c r="C97" s="44"/>
      <c r="D97" s="44"/>
      <c r="E97" s="44"/>
      <c r="F97" s="44"/>
      <c r="G97" s="44"/>
      <c r="H97" s="44"/>
    </row>
    <row r="98" spans="1:8" customFormat="1" ht="15.6" x14ac:dyDescent="0.3">
      <c r="A98" s="44"/>
      <c r="B98" s="44"/>
      <c r="C98" s="44"/>
      <c r="D98" s="44"/>
      <c r="E98" s="44"/>
      <c r="F98" s="44"/>
      <c r="G98" s="44"/>
      <c r="H98" s="44"/>
    </row>
    <row r="99" spans="1:8" customFormat="1" ht="15.6" x14ac:dyDescent="0.3">
      <c r="A99" s="44"/>
      <c r="B99" s="44"/>
      <c r="C99" s="44"/>
      <c r="D99" s="44"/>
      <c r="E99" s="44"/>
      <c r="F99" s="44"/>
      <c r="G99" s="44"/>
      <c r="H99" s="44"/>
    </row>
    <row r="100" spans="1:8" customFormat="1" ht="15.6" x14ac:dyDescent="0.3">
      <c r="A100" s="44"/>
      <c r="B100" s="44"/>
      <c r="C100" s="44"/>
      <c r="D100" s="44"/>
      <c r="E100" s="44"/>
      <c r="F100" s="44"/>
      <c r="G100" s="44"/>
      <c r="H100" s="44"/>
    </row>
    <row r="101" spans="1:8" customFormat="1" ht="15.6" x14ac:dyDescent="0.3">
      <c r="A101" s="44"/>
      <c r="B101" s="44"/>
      <c r="C101" s="44"/>
      <c r="D101" s="44"/>
      <c r="E101" s="44"/>
      <c r="F101" s="44"/>
      <c r="G101" s="44"/>
      <c r="H101" s="44"/>
    </row>
    <row r="102" spans="1:8" customFormat="1" ht="15.6" x14ac:dyDescent="0.3">
      <c r="A102" s="44"/>
      <c r="B102" s="44"/>
      <c r="C102" s="44"/>
      <c r="D102" s="44"/>
      <c r="E102" s="44"/>
      <c r="F102" s="44"/>
      <c r="G102" s="44"/>
      <c r="H102" s="44"/>
    </row>
    <row r="103" spans="1:8" customFormat="1" ht="15.6" x14ac:dyDescent="0.3">
      <c r="A103" s="44"/>
      <c r="B103" s="44"/>
      <c r="C103" s="44"/>
      <c r="D103" s="44"/>
      <c r="E103" s="44"/>
      <c r="F103" s="44"/>
      <c r="G103" s="44"/>
      <c r="H103" s="44"/>
    </row>
    <row r="104" spans="1:8" customFormat="1" ht="15.6" x14ac:dyDescent="0.3">
      <c r="A104" s="44"/>
      <c r="B104" s="44"/>
      <c r="C104" s="44"/>
      <c r="D104" s="44"/>
      <c r="E104" s="44"/>
      <c r="F104" s="44"/>
      <c r="G104" s="44"/>
      <c r="H104" s="44"/>
    </row>
    <row r="105" spans="1:8" customFormat="1" ht="15.6" x14ac:dyDescent="0.3">
      <c r="A105" s="44"/>
      <c r="B105" s="44"/>
      <c r="C105" s="44"/>
      <c r="D105" s="44"/>
      <c r="E105" s="44"/>
      <c r="F105" s="44"/>
      <c r="G105" s="44"/>
      <c r="H105" s="44"/>
    </row>
    <row r="106" spans="1:8" customFormat="1" ht="15.6" x14ac:dyDescent="0.3">
      <c r="A106" s="44"/>
      <c r="B106" s="44"/>
      <c r="C106" s="44"/>
      <c r="D106" s="44"/>
      <c r="E106" s="44"/>
      <c r="F106" s="44"/>
      <c r="G106" s="44"/>
      <c r="H106" s="44"/>
    </row>
    <row r="107" spans="1:8" customFormat="1" ht="15.6" x14ac:dyDescent="0.3">
      <c r="A107" s="44"/>
      <c r="B107" s="44"/>
      <c r="C107" s="44"/>
      <c r="D107" s="44"/>
      <c r="E107" s="44"/>
      <c r="F107" s="44"/>
      <c r="G107" s="44"/>
      <c r="H107" s="44"/>
    </row>
    <row r="108" spans="1:8" customFormat="1" ht="15.6" x14ac:dyDescent="0.3">
      <c r="A108" s="44"/>
      <c r="B108" s="44"/>
      <c r="C108" s="44"/>
      <c r="D108" s="44"/>
      <c r="E108" s="44"/>
      <c r="F108" s="44"/>
      <c r="G108" s="44"/>
      <c r="H108" s="44"/>
    </row>
    <row r="109" spans="1:8" customFormat="1" ht="15.6" x14ac:dyDescent="0.3">
      <c r="A109" s="44"/>
      <c r="B109" s="44"/>
      <c r="C109" s="44"/>
      <c r="D109" s="44"/>
      <c r="E109" s="44"/>
      <c r="F109" s="44"/>
      <c r="G109" s="44"/>
      <c r="H109" s="44"/>
    </row>
    <row r="110" spans="1:8" customFormat="1" ht="15.6" x14ac:dyDescent="0.3">
      <c r="A110" s="44"/>
      <c r="B110" s="44"/>
      <c r="C110" s="44"/>
      <c r="D110" s="44"/>
      <c r="E110" s="44"/>
      <c r="F110" s="44"/>
      <c r="G110" s="44"/>
      <c r="H110" s="44"/>
    </row>
    <row r="111" spans="1:8" customFormat="1" ht="15.6" x14ac:dyDescent="0.3">
      <c r="A111" s="44"/>
      <c r="B111" s="44"/>
      <c r="C111" s="44"/>
      <c r="D111" s="44"/>
      <c r="E111" s="44"/>
      <c r="F111" s="44"/>
      <c r="G111" s="44"/>
      <c r="H111" s="44"/>
    </row>
    <row r="112" spans="1:8" customFormat="1" ht="15.6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customFormat="1" ht="15.6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customFormat="1" ht="15.6" x14ac:dyDescent="0.3">
      <c r="A114" s="44"/>
      <c r="B114" s="44"/>
      <c r="C114" s="44"/>
      <c r="D114" s="44"/>
      <c r="E114" s="44"/>
      <c r="F114" s="44"/>
      <c r="G114" s="44"/>
      <c r="H114" s="44"/>
    </row>
    <row r="115" spans="1:8" customFormat="1" ht="15.6" x14ac:dyDescent="0.3">
      <c r="A115" s="44"/>
      <c r="B115" s="44"/>
      <c r="C115" s="44"/>
      <c r="D115" s="44"/>
      <c r="E115" s="44"/>
      <c r="F115" s="44"/>
      <c r="G115" s="44"/>
      <c r="H115" s="44"/>
    </row>
    <row r="116" spans="1:8" customFormat="1" ht="15.6" x14ac:dyDescent="0.3">
      <c r="A116" s="44"/>
      <c r="B116" s="44"/>
      <c r="C116" s="44"/>
      <c r="D116" s="44"/>
      <c r="E116" s="44"/>
      <c r="F116" s="44"/>
      <c r="G116" s="44"/>
      <c r="H116" s="44"/>
    </row>
    <row r="117" spans="1:8" customFormat="1" ht="15.6" x14ac:dyDescent="0.3">
      <c r="A117" s="44"/>
      <c r="B117" s="44"/>
      <c r="C117" s="44"/>
      <c r="D117" s="44"/>
      <c r="E117" s="44"/>
      <c r="F117" s="44"/>
      <c r="G117" s="44"/>
      <c r="H117" s="44"/>
    </row>
    <row r="118" spans="1:8" customFormat="1" ht="15.6" x14ac:dyDescent="0.3">
      <c r="A118" s="44"/>
      <c r="B118" s="44"/>
      <c r="C118" s="44"/>
      <c r="D118" s="44"/>
      <c r="E118" s="44"/>
      <c r="F118" s="44"/>
      <c r="G118" s="44"/>
      <c r="H118" s="44"/>
    </row>
    <row r="119" spans="1:8" customFormat="1" ht="15.6" x14ac:dyDescent="0.3">
      <c r="A119" s="44"/>
      <c r="B119" s="44"/>
      <c r="C119" s="44"/>
      <c r="D119" s="44"/>
      <c r="E119" s="44"/>
      <c r="F119" s="44"/>
      <c r="G119" s="44"/>
      <c r="H119" s="44"/>
    </row>
    <row r="120" spans="1:8" customFormat="1" ht="15.6" x14ac:dyDescent="0.3">
      <c r="A120" s="44"/>
      <c r="B120" s="44"/>
      <c r="C120" s="44"/>
      <c r="D120" s="44"/>
      <c r="E120" s="44"/>
      <c r="F120" s="44"/>
      <c r="G120" s="44"/>
      <c r="H120" s="44"/>
    </row>
    <row r="121" spans="1:8" customFormat="1" ht="15.6" x14ac:dyDescent="0.3">
      <c r="A121" s="44"/>
      <c r="B121" s="44"/>
      <c r="C121" s="44"/>
      <c r="D121" s="44"/>
      <c r="E121" s="44"/>
      <c r="F121" s="44"/>
      <c r="G121" s="44"/>
      <c r="H121" s="44"/>
    </row>
    <row r="122" spans="1:8" customFormat="1" ht="15.6" x14ac:dyDescent="0.3">
      <c r="A122" s="44"/>
      <c r="B122" s="44"/>
      <c r="C122" s="44"/>
      <c r="D122" s="44"/>
      <c r="E122" s="44"/>
      <c r="F122" s="44"/>
      <c r="G122" s="44"/>
      <c r="H122" s="44"/>
    </row>
    <row r="123" spans="1:8" customFormat="1" ht="15.6" x14ac:dyDescent="0.3">
      <c r="A123" s="44"/>
      <c r="B123" s="44"/>
      <c r="C123" s="44"/>
      <c r="D123" s="44"/>
      <c r="E123" s="44"/>
      <c r="F123" s="44"/>
      <c r="G123" s="44"/>
      <c r="H123" s="44"/>
    </row>
    <row r="124" spans="1:8" customFormat="1" ht="15.6" x14ac:dyDescent="0.3">
      <c r="A124" s="44"/>
      <c r="B124" s="44"/>
      <c r="C124" s="44"/>
      <c r="D124" s="44"/>
      <c r="E124" s="44"/>
      <c r="F124" s="44"/>
      <c r="G124" s="44"/>
      <c r="H124" s="44"/>
    </row>
    <row r="125" spans="1:8" customFormat="1" ht="15.6" x14ac:dyDescent="0.3">
      <c r="A125" s="44"/>
      <c r="B125" s="44"/>
      <c r="C125" s="44"/>
      <c r="D125" s="44"/>
      <c r="E125" s="44"/>
      <c r="F125" s="44"/>
      <c r="G125" s="44"/>
      <c r="H125" s="44"/>
    </row>
    <row r="126" spans="1:8" customFormat="1" ht="15.6" x14ac:dyDescent="0.3">
      <c r="A126" s="44"/>
      <c r="B126" s="44"/>
      <c r="C126" s="44"/>
      <c r="D126" s="44"/>
      <c r="E126" s="44"/>
      <c r="F126" s="44"/>
      <c r="G126" s="44"/>
      <c r="H126" s="44"/>
    </row>
    <row r="127" spans="1:8" customFormat="1" ht="15.6" x14ac:dyDescent="0.3">
      <c r="A127" s="44"/>
      <c r="B127" s="44"/>
      <c r="C127" s="44"/>
      <c r="D127" s="44"/>
      <c r="E127" s="44"/>
      <c r="F127" s="44"/>
      <c r="G127" s="44"/>
      <c r="H127" s="44"/>
    </row>
    <row r="128" spans="1:8" customFormat="1" ht="15.6" x14ac:dyDescent="0.3">
      <c r="A128" s="44"/>
      <c r="B128" s="44"/>
      <c r="C128" s="44"/>
      <c r="D128" s="44"/>
      <c r="E128" s="44"/>
      <c r="F128" s="44"/>
      <c r="G128" s="44"/>
      <c r="H128" s="44"/>
    </row>
    <row r="129" spans="1:8" customFormat="1" ht="15.6" x14ac:dyDescent="0.3">
      <c r="A129" s="44"/>
      <c r="B129" s="44"/>
      <c r="C129" s="44"/>
      <c r="D129" s="44"/>
      <c r="E129" s="44"/>
      <c r="F129" s="44"/>
      <c r="G129" s="44"/>
      <c r="H129" s="44"/>
    </row>
    <row r="130" spans="1:8" customFormat="1" ht="15.6" x14ac:dyDescent="0.3">
      <c r="A130" s="44"/>
      <c r="B130" s="44"/>
      <c r="C130" s="44"/>
      <c r="D130" s="44"/>
      <c r="E130" s="44"/>
      <c r="F130" s="44"/>
      <c r="G130" s="44"/>
      <c r="H130" s="44"/>
    </row>
    <row r="131" spans="1:8" customFormat="1" ht="15.6" x14ac:dyDescent="0.3">
      <c r="A131" s="44"/>
      <c r="B131" s="44"/>
      <c r="C131" s="44"/>
      <c r="D131" s="44"/>
      <c r="E131" s="44"/>
      <c r="F131" s="44"/>
      <c r="G131" s="44"/>
      <c r="H131" s="44"/>
    </row>
    <row r="132" spans="1:8" customFormat="1" ht="15.6" x14ac:dyDescent="0.3">
      <c r="A132" s="44"/>
      <c r="B132" s="44"/>
      <c r="C132" s="44"/>
      <c r="D132" s="44"/>
      <c r="E132" s="44"/>
      <c r="F132" s="44"/>
      <c r="G132" s="44"/>
      <c r="H132" s="44"/>
    </row>
    <row r="133" spans="1:8" customFormat="1" ht="15.6" x14ac:dyDescent="0.3">
      <c r="A133" s="44"/>
      <c r="B133" s="44"/>
      <c r="C133" s="44"/>
      <c r="D133" s="44"/>
      <c r="E133" s="44"/>
      <c r="F133" s="44"/>
      <c r="G133" s="44"/>
      <c r="H133" s="44"/>
    </row>
    <row r="134" spans="1:8" customFormat="1" ht="15.6" x14ac:dyDescent="0.3">
      <c r="A134" s="44"/>
      <c r="B134" s="44"/>
      <c r="C134" s="44"/>
      <c r="D134" s="44"/>
      <c r="E134" s="44"/>
      <c r="F134" s="44"/>
      <c r="G134" s="44"/>
      <c r="H134" s="44"/>
    </row>
    <row r="135" spans="1:8" customFormat="1" ht="15.6" x14ac:dyDescent="0.3">
      <c r="A135" s="44"/>
      <c r="B135" s="44"/>
      <c r="C135" s="44"/>
      <c r="D135" s="44"/>
      <c r="E135" s="44"/>
      <c r="F135" s="44"/>
      <c r="G135" s="44"/>
      <c r="H135" s="44"/>
    </row>
    <row r="136" spans="1:8" customFormat="1" ht="15.6" x14ac:dyDescent="0.3">
      <c r="A136" s="44"/>
      <c r="B136" s="44"/>
      <c r="C136" s="44"/>
      <c r="D136" s="44"/>
      <c r="E136" s="44"/>
      <c r="F136" s="44"/>
      <c r="G136" s="44"/>
      <c r="H136" s="44"/>
    </row>
    <row r="137" spans="1:8" customFormat="1" ht="15.6" x14ac:dyDescent="0.3">
      <c r="A137" s="44"/>
      <c r="B137" s="44"/>
      <c r="C137" s="44"/>
      <c r="D137" s="44"/>
      <c r="E137" s="44"/>
      <c r="F137" s="44"/>
      <c r="G137" s="44"/>
      <c r="H137" s="44"/>
    </row>
    <row r="138" spans="1:8" customFormat="1" ht="15.6" x14ac:dyDescent="0.3">
      <c r="A138" s="44"/>
      <c r="B138" s="44"/>
      <c r="C138" s="44"/>
      <c r="D138" s="44"/>
      <c r="E138" s="44"/>
      <c r="F138" s="44"/>
      <c r="G138" s="44"/>
      <c r="H138" s="44"/>
    </row>
    <row r="139" spans="1:8" customFormat="1" ht="15.6" x14ac:dyDescent="0.3">
      <c r="A139" s="44"/>
      <c r="B139" s="44"/>
      <c r="C139" s="44"/>
      <c r="D139" s="44"/>
      <c r="E139" s="44"/>
      <c r="F139" s="44"/>
      <c r="G139" s="44"/>
      <c r="H139" s="44"/>
    </row>
    <row r="140" spans="1:8" customFormat="1" ht="15.6" x14ac:dyDescent="0.3">
      <c r="A140" s="44"/>
      <c r="B140" s="44"/>
      <c r="C140" s="44"/>
      <c r="D140" s="44"/>
      <c r="E140" s="44"/>
      <c r="F140" s="44"/>
      <c r="G140" s="44"/>
      <c r="H140" s="44"/>
    </row>
    <row r="141" spans="1:8" customFormat="1" ht="15.6" x14ac:dyDescent="0.3">
      <c r="A141" s="44"/>
      <c r="B141" s="44"/>
      <c r="C141" s="44"/>
      <c r="D141" s="44"/>
      <c r="E141" s="44"/>
      <c r="F141" s="44"/>
      <c r="G141" s="44"/>
      <c r="H141" s="44"/>
    </row>
    <row r="142" spans="1:8" customFormat="1" ht="15.6" x14ac:dyDescent="0.3">
      <c r="A142" s="44"/>
      <c r="B142" s="44"/>
      <c r="C142" s="44"/>
      <c r="D142" s="44"/>
      <c r="E142" s="44"/>
      <c r="F142" s="44"/>
      <c r="G142" s="44"/>
      <c r="H142" s="44"/>
    </row>
    <row r="143" spans="1:8" customFormat="1" ht="15.6" x14ac:dyDescent="0.3">
      <c r="A143" s="44"/>
      <c r="B143" s="44"/>
      <c r="C143" s="44"/>
      <c r="D143" s="44"/>
      <c r="E143" s="44"/>
      <c r="F143" s="44"/>
      <c r="G143" s="44"/>
      <c r="H143" s="44"/>
    </row>
    <row r="144" spans="1:8" customFormat="1" ht="15.6" x14ac:dyDescent="0.3">
      <c r="A144" s="44"/>
      <c r="B144" s="44"/>
      <c r="C144" s="44"/>
      <c r="D144" s="44"/>
      <c r="E144" s="44"/>
      <c r="F144" s="44"/>
      <c r="G144" s="44"/>
      <c r="H144" s="44"/>
    </row>
    <row r="145" spans="1:8" customFormat="1" ht="15.6" x14ac:dyDescent="0.3">
      <c r="A145" s="44"/>
      <c r="B145" s="44"/>
      <c r="C145" s="44"/>
      <c r="D145" s="44"/>
      <c r="E145" s="44"/>
      <c r="F145" s="44"/>
      <c r="G145" s="44"/>
      <c r="H145" s="44"/>
    </row>
    <row r="146" spans="1:8" customFormat="1" ht="15.6" x14ac:dyDescent="0.3">
      <c r="A146" s="44"/>
      <c r="B146" s="44"/>
      <c r="C146" s="44"/>
      <c r="D146" s="44"/>
      <c r="E146" s="44"/>
      <c r="F146" s="44"/>
      <c r="G146" s="44"/>
      <c r="H146" s="44"/>
    </row>
    <row r="147" spans="1:8" customFormat="1" ht="15.6" x14ac:dyDescent="0.3">
      <c r="A147" s="44"/>
      <c r="B147" s="44"/>
      <c r="C147" s="44"/>
      <c r="D147" s="44"/>
      <c r="E147" s="44"/>
      <c r="F147" s="44"/>
      <c r="G147" s="44"/>
      <c r="H147" s="44"/>
    </row>
    <row r="148" spans="1:8" customFormat="1" ht="15.6" x14ac:dyDescent="0.3">
      <c r="A148" s="44"/>
      <c r="B148" s="44"/>
      <c r="C148" s="44"/>
      <c r="D148" s="44"/>
      <c r="E148" s="44"/>
      <c r="F148" s="44"/>
      <c r="G148" s="44"/>
      <c r="H148" s="44"/>
    </row>
    <row r="149" spans="1:8" customFormat="1" ht="15.6" x14ac:dyDescent="0.3">
      <c r="A149" s="44"/>
      <c r="B149" s="44"/>
      <c r="C149" s="44"/>
      <c r="D149" s="44"/>
      <c r="E149" s="44"/>
      <c r="F149" s="44"/>
      <c r="G149" s="44"/>
      <c r="H149" s="44"/>
    </row>
    <row r="150" spans="1:8" customFormat="1" ht="15.6" x14ac:dyDescent="0.3">
      <c r="A150" s="44"/>
      <c r="B150" s="44"/>
      <c r="C150" s="44"/>
      <c r="D150" s="44"/>
      <c r="E150" s="44"/>
      <c r="F150" s="44"/>
      <c r="G150" s="44"/>
      <c r="H150" s="44"/>
    </row>
    <row r="151" spans="1:8" customFormat="1" ht="15.6" x14ac:dyDescent="0.3">
      <c r="A151" s="44"/>
      <c r="B151" s="44"/>
      <c r="C151" s="44"/>
      <c r="D151" s="44"/>
      <c r="E151" s="44"/>
      <c r="F151" s="44"/>
      <c r="G151" s="44"/>
      <c r="H151" s="44"/>
    </row>
    <row r="152" spans="1:8" customFormat="1" ht="15.6" x14ac:dyDescent="0.3">
      <c r="A152" s="44"/>
      <c r="B152" s="44"/>
      <c r="C152" s="44"/>
      <c r="D152" s="44"/>
      <c r="E152" s="44"/>
      <c r="F152" s="44"/>
      <c r="G152" s="44"/>
      <c r="H152" s="44"/>
    </row>
    <row r="153" spans="1:8" customFormat="1" ht="15.6" x14ac:dyDescent="0.3">
      <c r="A153" s="44"/>
      <c r="B153" s="44"/>
      <c r="C153" s="44"/>
      <c r="D153" s="44"/>
      <c r="E153" s="44"/>
      <c r="F153" s="44"/>
      <c r="G153" s="44"/>
      <c r="H153" s="44"/>
    </row>
    <row r="154" spans="1:8" customFormat="1" ht="15.6" x14ac:dyDescent="0.3">
      <c r="A154" s="44"/>
      <c r="B154" s="44"/>
      <c r="C154" s="44"/>
      <c r="D154" s="44"/>
      <c r="E154" s="44"/>
      <c r="F154" s="44"/>
      <c r="G154" s="44"/>
      <c r="H154" s="44"/>
    </row>
    <row r="155" spans="1:8" customFormat="1" ht="15.6" x14ac:dyDescent="0.3">
      <c r="A155" s="44"/>
      <c r="B155" s="44"/>
      <c r="C155" s="44"/>
      <c r="D155" s="44"/>
      <c r="E155" s="44"/>
      <c r="F155" s="44"/>
      <c r="G155" s="44"/>
      <c r="H155" s="44"/>
    </row>
    <row r="156" spans="1:8" customFormat="1" ht="15.6" x14ac:dyDescent="0.3">
      <c r="A156" s="44"/>
      <c r="B156" s="44"/>
      <c r="C156" s="44"/>
      <c r="D156" s="44"/>
      <c r="E156" s="44"/>
      <c r="F156" s="44"/>
      <c r="G156" s="44"/>
      <c r="H156" s="44"/>
    </row>
    <row r="157" spans="1:8" customFormat="1" ht="15.6" x14ac:dyDescent="0.3">
      <c r="A157" s="44"/>
      <c r="B157" s="44"/>
      <c r="C157" s="44"/>
      <c r="D157" s="44"/>
      <c r="E157" s="44"/>
      <c r="F157" s="44"/>
      <c r="G157" s="44"/>
      <c r="H157" s="44"/>
    </row>
    <row r="158" spans="1:8" customFormat="1" ht="15.6" x14ac:dyDescent="0.3">
      <c r="A158" s="44"/>
      <c r="B158" s="44"/>
      <c r="C158" s="44"/>
      <c r="D158" s="44"/>
      <c r="E158" s="44"/>
      <c r="F158" s="44"/>
      <c r="G158" s="44"/>
      <c r="H158" s="44"/>
    </row>
    <row r="159" spans="1:8" customFormat="1" ht="15.6" x14ac:dyDescent="0.3">
      <c r="A159" s="44"/>
      <c r="B159" s="44"/>
      <c r="C159" s="44"/>
      <c r="D159" s="44"/>
      <c r="E159" s="44"/>
      <c r="F159" s="44"/>
      <c r="G159" s="44"/>
      <c r="H159" s="44"/>
    </row>
    <row r="160" spans="1:8" customFormat="1" ht="15.6" x14ac:dyDescent="0.3">
      <c r="A160" s="44"/>
      <c r="B160" s="44"/>
      <c r="C160" s="44"/>
      <c r="D160" s="44"/>
      <c r="E160" s="44"/>
      <c r="F160" s="44"/>
      <c r="G160" s="44"/>
      <c r="H160" s="44"/>
    </row>
    <row r="161" spans="1:8" customFormat="1" ht="15.6" x14ac:dyDescent="0.3">
      <c r="A161" s="44"/>
      <c r="B161" s="44"/>
      <c r="C161" s="44"/>
      <c r="D161" s="44"/>
      <c r="E161" s="44"/>
      <c r="F161" s="44"/>
      <c r="G161" s="44"/>
      <c r="H161" s="44"/>
    </row>
    <row r="162" spans="1:8" customFormat="1" ht="15.6" x14ac:dyDescent="0.3">
      <c r="A162" s="44"/>
      <c r="B162" s="44"/>
      <c r="C162" s="44"/>
      <c r="D162" s="44"/>
      <c r="E162" s="44"/>
      <c r="F162" s="44"/>
      <c r="G162" s="44"/>
      <c r="H162" s="44"/>
    </row>
    <row r="163" spans="1:8" customFormat="1" ht="15.6" x14ac:dyDescent="0.3">
      <c r="A163" s="44"/>
      <c r="B163" s="44"/>
      <c r="C163" s="44"/>
      <c r="D163" s="44"/>
      <c r="E163" s="44"/>
      <c r="F163" s="44"/>
      <c r="G163" s="44"/>
      <c r="H163" s="44"/>
    </row>
    <row r="164" spans="1:8" customFormat="1" ht="15.6" x14ac:dyDescent="0.3">
      <c r="A164" s="44"/>
      <c r="B164" s="44"/>
      <c r="C164" s="44"/>
      <c r="D164" s="44"/>
      <c r="E164" s="44"/>
      <c r="F164" s="44"/>
      <c r="G164" s="44"/>
      <c r="H164" s="44"/>
    </row>
    <row r="165" spans="1:8" customFormat="1" ht="15.6" x14ac:dyDescent="0.3">
      <c r="A165" s="44"/>
      <c r="B165" s="44"/>
      <c r="C165" s="44"/>
      <c r="D165" s="44"/>
      <c r="E165" s="44"/>
      <c r="F165" s="44"/>
      <c r="G165" s="44"/>
      <c r="H165" s="44"/>
    </row>
    <row r="166" spans="1:8" customFormat="1" ht="15.6" x14ac:dyDescent="0.3">
      <c r="A166" s="44"/>
      <c r="B166" s="44"/>
      <c r="C166" s="44"/>
      <c r="D166" s="44"/>
      <c r="E166" s="44"/>
      <c r="F166" s="44"/>
      <c r="G166" s="44"/>
      <c r="H166" s="44"/>
    </row>
    <row r="167" spans="1:8" customFormat="1" ht="15.6" x14ac:dyDescent="0.3">
      <c r="A167" s="44"/>
      <c r="B167" s="44"/>
      <c r="C167" s="44"/>
      <c r="D167" s="44"/>
      <c r="E167" s="44"/>
      <c r="F167" s="44"/>
      <c r="G167" s="44"/>
      <c r="H167" s="44"/>
    </row>
    <row r="168" spans="1:8" customFormat="1" ht="15.6" x14ac:dyDescent="0.3">
      <c r="A168" s="44"/>
      <c r="B168" s="44"/>
      <c r="C168" s="44"/>
      <c r="D168" s="44"/>
      <c r="E168" s="44"/>
      <c r="F168" s="44"/>
      <c r="G168" s="44"/>
      <c r="H168" s="44"/>
    </row>
    <row r="169" spans="1:8" customFormat="1" ht="15.6" x14ac:dyDescent="0.3">
      <c r="A169" s="44"/>
      <c r="B169" s="44"/>
      <c r="C169" s="44"/>
      <c r="D169" s="44"/>
      <c r="E169" s="44"/>
      <c r="F169" s="44"/>
      <c r="G169" s="44"/>
      <c r="H169" s="44"/>
    </row>
    <row r="170" spans="1:8" customFormat="1" ht="15.6" x14ac:dyDescent="0.3">
      <c r="A170" s="44"/>
      <c r="B170" s="44"/>
      <c r="C170" s="44"/>
      <c r="D170" s="44"/>
      <c r="E170" s="44"/>
      <c r="F170" s="44"/>
      <c r="G170" s="44"/>
      <c r="H170" s="44"/>
    </row>
    <row r="171" spans="1:8" customFormat="1" ht="15.6" x14ac:dyDescent="0.3">
      <c r="A171" s="44"/>
      <c r="B171" s="44"/>
      <c r="C171" s="44"/>
      <c r="D171" s="44"/>
      <c r="E171" s="44"/>
      <c r="F171" s="44"/>
      <c r="G171" s="44"/>
      <c r="H171" s="44"/>
    </row>
    <row r="172" spans="1:8" customFormat="1" ht="15.6" x14ac:dyDescent="0.3">
      <c r="A172" s="44"/>
      <c r="B172" s="44"/>
      <c r="C172" s="44"/>
      <c r="D172" s="44"/>
      <c r="E172" s="44"/>
      <c r="F172" s="44"/>
      <c r="G172" s="44"/>
      <c r="H172" s="44"/>
    </row>
    <row r="173" spans="1:8" customFormat="1" ht="15.6" x14ac:dyDescent="0.3">
      <c r="A173" s="44"/>
      <c r="B173" s="44"/>
      <c r="C173" s="44"/>
      <c r="D173" s="44"/>
      <c r="E173" s="44"/>
      <c r="F173" s="44"/>
      <c r="G173" s="44"/>
      <c r="H173" s="44"/>
    </row>
    <row r="174" spans="1:8" customFormat="1" ht="15.6" x14ac:dyDescent="0.3">
      <c r="A174" s="44"/>
      <c r="B174" s="44"/>
      <c r="C174" s="44"/>
      <c r="D174" s="44"/>
      <c r="E174" s="44"/>
      <c r="F174" s="44"/>
      <c r="G174" s="44"/>
      <c r="H174" s="44"/>
    </row>
    <row r="175" spans="1:8" customFormat="1" ht="15.6" x14ac:dyDescent="0.3">
      <c r="A175" s="44"/>
      <c r="B175" s="44"/>
      <c r="C175" s="44"/>
      <c r="D175" s="44"/>
      <c r="E175" s="44"/>
      <c r="F175" s="44"/>
      <c r="G175" s="44"/>
      <c r="H175" s="44"/>
    </row>
    <row r="176" spans="1:8" customFormat="1" ht="15.6" x14ac:dyDescent="0.3">
      <c r="A176" s="44"/>
      <c r="B176" s="44"/>
      <c r="C176" s="44"/>
      <c r="D176" s="44"/>
      <c r="E176" s="44"/>
      <c r="F176" s="44"/>
      <c r="G176" s="44"/>
      <c r="H176" s="44"/>
    </row>
    <row r="177" spans="1:8" customFormat="1" ht="15.6" x14ac:dyDescent="0.3">
      <c r="A177" s="44"/>
      <c r="B177" s="44"/>
      <c r="C177" s="44"/>
      <c r="D177" s="44"/>
      <c r="E177" s="44"/>
      <c r="F177" s="44"/>
      <c r="G177" s="44"/>
      <c r="H177" s="44"/>
    </row>
    <row r="178" spans="1:8" customFormat="1" ht="15.6" x14ac:dyDescent="0.3">
      <c r="A178" s="44"/>
      <c r="B178" s="44"/>
      <c r="C178" s="44"/>
      <c r="D178" s="44"/>
      <c r="E178" s="44"/>
      <c r="F178" s="44"/>
      <c r="G178" s="44"/>
      <c r="H178" s="44"/>
    </row>
    <row r="179" spans="1:8" customFormat="1" ht="15.6" x14ac:dyDescent="0.3">
      <c r="A179" s="44"/>
      <c r="B179" s="44"/>
      <c r="C179" s="44"/>
      <c r="D179" s="44"/>
      <c r="E179" s="44"/>
      <c r="F179" s="44"/>
      <c r="G179" s="44"/>
      <c r="H179" s="44"/>
    </row>
    <row r="180" spans="1:8" customFormat="1" ht="15.6" x14ac:dyDescent="0.3">
      <c r="A180" s="44"/>
      <c r="B180" s="44"/>
      <c r="C180" s="44"/>
      <c r="D180" s="44"/>
      <c r="E180" s="44"/>
      <c r="F180" s="44"/>
      <c r="G180" s="44"/>
      <c r="H180" s="44"/>
    </row>
    <row r="181" spans="1:8" customFormat="1" ht="15.6" x14ac:dyDescent="0.3">
      <c r="A181" s="44"/>
      <c r="B181" s="44"/>
      <c r="C181" s="44"/>
      <c r="D181" s="44"/>
      <c r="E181" s="44"/>
      <c r="F181" s="44"/>
      <c r="G181" s="44"/>
      <c r="H181" s="44"/>
    </row>
    <row r="182" spans="1:8" customFormat="1" ht="15.6" x14ac:dyDescent="0.3">
      <c r="A182" s="44"/>
      <c r="B182" s="44"/>
      <c r="C182" s="44"/>
      <c r="D182" s="44"/>
      <c r="E182" s="44"/>
      <c r="F182" s="44"/>
      <c r="G182" s="44"/>
      <c r="H182" s="44"/>
    </row>
    <row r="183" spans="1:8" customFormat="1" ht="15.6" x14ac:dyDescent="0.3">
      <c r="A183" s="44"/>
      <c r="B183" s="44"/>
      <c r="C183" s="44"/>
      <c r="D183" s="44"/>
      <c r="E183" s="44"/>
      <c r="F183" s="44"/>
      <c r="G183" s="44"/>
      <c r="H183" s="44"/>
    </row>
    <row r="184" spans="1:8" customFormat="1" ht="15.6" x14ac:dyDescent="0.3">
      <c r="A184" s="44"/>
      <c r="B184" s="44"/>
      <c r="C184" s="44"/>
      <c r="D184" s="44"/>
      <c r="E184" s="44"/>
      <c r="F184" s="44"/>
      <c r="G184" s="44"/>
      <c r="H184" s="44"/>
    </row>
    <row r="185" spans="1:8" customFormat="1" ht="15.6" x14ac:dyDescent="0.3">
      <c r="A185" s="44"/>
      <c r="B185" s="44"/>
      <c r="C185" s="44"/>
      <c r="D185" s="44"/>
      <c r="E185" s="44"/>
      <c r="F185" s="44"/>
      <c r="G185" s="44"/>
      <c r="H185" s="44"/>
    </row>
    <row r="186" spans="1:8" customFormat="1" ht="15.6" x14ac:dyDescent="0.3">
      <c r="A186" s="44"/>
      <c r="B186" s="44"/>
      <c r="C186" s="44"/>
      <c r="D186" s="44"/>
      <c r="E186" s="44"/>
      <c r="F186" s="44"/>
      <c r="G186" s="44"/>
      <c r="H186" s="44"/>
    </row>
    <row r="187" spans="1:8" customFormat="1" ht="15.6" x14ac:dyDescent="0.3">
      <c r="A187" s="44"/>
      <c r="B187" s="44"/>
      <c r="C187" s="44"/>
      <c r="D187" s="44"/>
      <c r="E187" s="44"/>
      <c r="F187" s="44"/>
      <c r="G187" s="44"/>
      <c r="H187" s="44"/>
    </row>
    <row r="188" spans="1:8" customFormat="1" ht="15.6" x14ac:dyDescent="0.3">
      <c r="A188" s="44"/>
      <c r="B188" s="44"/>
      <c r="C188" s="44"/>
      <c r="D188" s="44"/>
      <c r="E188" s="44"/>
      <c r="F188" s="44"/>
      <c r="G188" s="44"/>
      <c r="H188" s="44"/>
    </row>
    <row r="189" spans="1:8" customFormat="1" ht="15.6" x14ac:dyDescent="0.3">
      <c r="A189" s="44"/>
      <c r="B189" s="44"/>
      <c r="C189" s="44"/>
      <c r="D189" s="44"/>
      <c r="E189" s="44"/>
      <c r="F189" s="44"/>
      <c r="G189" s="44"/>
      <c r="H189" s="44"/>
    </row>
    <row r="190" spans="1:8" customFormat="1" ht="15.6" x14ac:dyDescent="0.3">
      <c r="A190" s="44"/>
      <c r="B190" s="44"/>
      <c r="C190" s="44"/>
      <c r="D190" s="44"/>
      <c r="E190" s="44"/>
      <c r="F190" s="44"/>
      <c r="G190" s="44"/>
      <c r="H190" s="44"/>
    </row>
    <row r="191" spans="1:8" customFormat="1" ht="15.6" x14ac:dyDescent="0.3">
      <c r="A191" s="44"/>
      <c r="B191" s="44"/>
      <c r="C191" s="44"/>
      <c r="D191" s="44"/>
      <c r="E191" s="44"/>
      <c r="F191" s="44"/>
      <c r="G191" s="44"/>
      <c r="H191" s="44"/>
    </row>
    <row r="192" spans="1:8" customFormat="1" ht="15.6" x14ac:dyDescent="0.3">
      <c r="A192" s="44"/>
      <c r="B192" s="44"/>
      <c r="C192" s="44"/>
      <c r="D192" s="44"/>
      <c r="E192" s="44"/>
      <c r="F192" s="44"/>
      <c r="G192" s="44"/>
      <c r="H192" s="44"/>
    </row>
    <row r="193" spans="1:8" customFormat="1" ht="15.6" x14ac:dyDescent="0.3">
      <c r="A193" s="44"/>
      <c r="B193" s="44"/>
      <c r="C193" s="44"/>
      <c r="D193" s="44"/>
      <c r="E193" s="44"/>
      <c r="F193" s="44"/>
      <c r="G193" s="44"/>
      <c r="H193" s="44"/>
    </row>
    <row r="194" spans="1:8" customFormat="1" ht="15.6" x14ac:dyDescent="0.3">
      <c r="A194" s="44"/>
      <c r="B194" s="44"/>
      <c r="C194" s="44"/>
      <c r="D194" s="44"/>
      <c r="E194" s="44"/>
      <c r="F194" s="44"/>
      <c r="G194" s="44"/>
      <c r="H194" s="44"/>
    </row>
    <row r="195" spans="1:8" customFormat="1" ht="15.6" x14ac:dyDescent="0.3">
      <c r="A195" s="44"/>
      <c r="B195" s="44"/>
      <c r="C195" s="44"/>
      <c r="D195" s="44"/>
      <c r="E195" s="44"/>
      <c r="F195" s="44"/>
      <c r="G195" s="44"/>
      <c r="H195" s="44"/>
    </row>
    <row r="196" spans="1:8" customFormat="1" ht="15.6" x14ac:dyDescent="0.3">
      <c r="A196" s="44"/>
      <c r="B196" s="44"/>
      <c r="C196" s="44"/>
      <c r="D196" s="44"/>
      <c r="E196" s="44"/>
      <c r="F196" s="44"/>
      <c r="G196" s="44"/>
      <c r="H196" s="44"/>
    </row>
    <row r="197" spans="1:8" customFormat="1" ht="15.6" x14ac:dyDescent="0.3">
      <c r="A197" s="44"/>
      <c r="B197" s="44"/>
      <c r="C197" s="44"/>
      <c r="D197" s="44"/>
      <c r="E197" s="44"/>
      <c r="F197" s="44"/>
      <c r="G197" s="44"/>
      <c r="H197" s="44"/>
    </row>
    <row r="198" spans="1:8" customFormat="1" ht="15.6" x14ac:dyDescent="0.3">
      <c r="A198" s="44"/>
      <c r="B198" s="44"/>
      <c r="C198" s="44"/>
      <c r="D198" s="44"/>
      <c r="E198" s="44"/>
      <c r="F198" s="44"/>
      <c r="G198" s="44"/>
      <c r="H198" s="44"/>
    </row>
    <row r="199" spans="1:8" customFormat="1" ht="15.6" x14ac:dyDescent="0.3">
      <c r="A199" s="44"/>
      <c r="B199" s="44"/>
      <c r="C199" s="44"/>
      <c r="D199" s="44"/>
      <c r="E199" s="44"/>
      <c r="F199" s="44"/>
      <c r="G199" s="44"/>
      <c r="H199" s="44"/>
    </row>
    <row r="200" spans="1:8" customFormat="1" ht="15.6" x14ac:dyDescent="0.3">
      <c r="A200" s="44"/>
      <c r="B200" s="44"/>
      <c r="C200" s="44"/>
      <c r="D200" s="44"/>
      <c r="E200" s="44"/>
      <c r="F200" s="44"/>
      <c r="G200" s="44"/>
      <c r="H200" s="44"/>
    </row>
    <row r="201" spans="1:8" customFormat="1" ht="15.6" x14ac:dyDescent="0.3">
      <c r="A201" s="44"/>
      <c r="B201" s="44"/>
      <c r="C201" s="44"/>
      <c r="D201" s="44"/>
      <c r="E201" s="44"/>
      <c r="F201" s="44"/>
      <c r="G201" s="44"/>
      <c r="H201" s="44"/>
    </row>
    <row r="202" spans="1:8" customFormat="1" ht="15.6" x14ac:dyDescent="0.3">
      <c r="A202" s="44"/>
      <c r="B202" s="44"/>
      <c r="C202" s="44"/>
      <c r="D202" s="44"/>
      <c r="E202" s="44"/>
      <c r="F202" s="44"/>
      <c r="G202" s="44"/>
      <c r="H202" s="44"/>
    </row>
    <row r="203" spans="1:8" customFormat="1" ht="15.6" x14ac:dyDescent="0.3">
      <c r="A203" s="44"/>
      <c r="B203" s="44"/>
      <c r="C203" s="44"/>
      <c r="D203" s="44"/>
      <c r="E203" s="44"/>
      <c r="F203" s="44"/>
      <c r="G203" s="44"/>
      <c r="H203" s="44"/>
    </row>
    <row r="204" spans="1:8" customFormat="1" ht="15.6" x14ac:dyDescent="0.3">
      <c r="A204" s="44"/>
      <c r="B204" s="44"/>
      <c r="C204" s="44"/>
      <c r="D204" s="44"/>
      <c r="E204" s="44"/>
      <c r="F204" s="44"/>
      <c r="G204" s="44"/>
      <c r="H204" s="44"/>
    </row>
    <row r="205" spans="1:8" customFormat="1" ht="15.6" x14ac:dyDescent="0.3">
      <c r="A205" s="44"/>
      <c r="B205" s="44"/>
      <c r="C205" s="44"/>
      <c r="D205" s="44"/>
      <c r="E205" s="44"/>
      <c r="F205" s="44"/>
      <c r="G205" s="44"/>
      <c r="H205" s="44"/>
    </row>
    <row r="206" spans="1:8" customFormat="1" ht="15.6" x14ac:dyDescent="0.3">
      <c r="A206" s="44"/>
      <c r="B206" s="44"/>
      <c r="C206" s="44"/>
      <c r="D206" s="44"/>
      <c r="E206" s="44"/>
      <c r="F206" s="44"/>
      <c r="G206" s="44"/>
      <c r="H206" s="44"/>
    </row>
    <row r="207" spans="1:8" customFormat="1" ht="15.6" x14ac:dyDescent="0.3">
      <c r="A207" s="44"/>
      <c r="B207" s="44"/>
      <c r="C207" s="44"/>
      <c r="D207" s="44"/>
      <c r="E207" s="44"/>
      <c r="F207" s="44"/>
      <c r="G207" s="44"/>
      <c r="H207" s="44"/>
    </row>
    <row r="208" spans="1:8" customFormat="1" ht="15.6" x14ac:dyDescent="0.3">
      <c r="A208" s="44"/>
      <c r="B208" s="44"/>
      <c r="C208" s="44"/>
      <c r="D208" s="44"/>
      <c r="E208" s="44"/>
      <c r="F208" s="44"/>
      <c r="G208" s="44"/>
      <c r="H208" s="44"/>
    </row>
    <row r="209" spans="1:8" customFormat="1" ht="15.6" x14ac:dyDescent="0.3">
      <c r="A209" s="44"/>
      <c r="B209" s="44"/>
      <c r="C209" s="44"/>
      <c r="D209" s="44"/>
      <c r="E209" s="44"/>
      <c r="F209" s="44"/>
      <c r="G209" s="44"/>
      <c r="H209" s="44"/>
    </row>
    <row r="210" spans="1:8" customFormat="1" ht="15.6" x14ac:dyDescent="0.3">
      <c r="A210" s="44"/>
      <c r="B210" s="44"/>
      <c r="C210" s="44"/>
      <c r="D210" s="44"/>
      <c r="E210" s="44"/>
      <c r="F210" s="44"/>
      <c r="G210" s="44"/>
      <c r="H210" s="44"/>
    </row>
    <row r="211" spans="1:8" customFormat="1" ht="15.6" x14ac:dyDescent="0.3">
      <c r="A211" s="44"/>
      <c r="B211" s="44"/>
      <c r="C211" s="44"/>
      <c r="D211" s="44"/>
      <c r="E211" s="44"/>
      <c r="F211" s="44"/>
      <c r="G211" s="44"/>
      <c r="H211" s="44"/>
    </row>
    <row r="212" spans="1:8" customFormat="1" ht="15.6" x14ac:dyDescent="0.3">
      <c r="A212" s="44"/>
      <c r="B212" s="44"/>
      <c r="C212" s="44"/>
      <c r="D212" s="44"/>
      <c r="E212" s="44"/>
      <c r="F212" s="44"/>
      <c r="G212" s="44"/>
      <c r="H212" s="44"/>
    </row>
    <row r="213" spans="1:8" customFormat="1" ht="15.6" x14ac:dyDescent="0.3">
      <c r="A213" s="44"/>
      <c r="B213" s="44"/>
      <c r="C213" s="44"/>
      <c r="D213" s="44"/>
      <c r="E213" s="44"/>
      <c r="F213" s="44"/>
      <c r="G213" s="44"/>
      <c r="H213" s="44"/>
    </row>
    <row r="214" spans="1:8" customFormat="1" ht="15.6" x14ac:dyDescent="0.3">
      <c r="A214" s="44"/>
      <c r="B214" s="44"/>
      <c r="C214" s="44"/>
      <c r="D214" s="44"/>
      <c r="E214" s="44"/>
      <c r="F214" s="44"/>
      <c r="G214" s="44"/>
      <c r="H214" s="44"/>
    </row>
    <row r="215" spans="1:8" customFormat="1" ht="15.6" x14ac:dyDescent="0.3">
      <c r="A215" s="44"/>
      <c r="B215" s="44"/>
      <c r="C215" s="44"/>
      <c r="D215" s="44"/>
      <c r="E215" s="44"/>
      <c r="F215" s="44"/>
      <c r="G215" s="44"/>
      <c r="H215" s="44"/>
    </row>
    <row r="216" spans="1:8" customFormat="1" ht="15.6" x14ac:dyDescent="0.3">
      <c r="A216" s="44"/>
      <c r="B216" s="44"/>
      <c r="C216" s="44"/>
      <c r="D216" s="44"/>
      <c r="E216" s="44"/>
      <c r="F216" s="44"/>
      <c r="G216" s="44"/>
      <c r="H216" s="44"/>
    </row>
    <row r="217" spans="1:8" customFormat="1" ht="15.6" x14ac:dyDescent="0.3">
      <c r="A217" s="44"/>
      <c r="B217" s="44"/>
      <c r="C217" s="44"/>
      <c r="D217" s="44"/>
      <c r="E217" s="44"/>
      <c r="F217" s="44"/>
      <c r="G217" s="44"/>
      <c r="H217" s="44"/>
    </row>
    <row r="218" spans="1:8" customFormat="1" ht="15.6" x14ac:dyDescent="0.3">
      <c r="A218" s="44"/>
      <c r="B218" s="44"/>
      <c r="C218" s="44"/>
      <c r="D218" s="44"/>
      <c r="E218" s="44"/>
      <c r="F218" s="44"/>
      <c r="G218" s="44"/>
      <c r="H218" s="44"/>
    </row>
    <row r="219" spans="1:8" customFormat="1" ht="15.6" x14ac:dyDescent="0.3">
      <c r="A219" s="44"/>
      <c r="B219" s="44"/>
      <c r="C219" s="44"/>
      <c r="D219" s="44"/>
      <c r="E219" s="44"/>
      <c r="F219" s="44"/>
      <c r="G219" s="44"/>
      <c r="H219" s="44"/>
    </row>
    <row r="220" spans="1:8" customFormat="1" ht="15.6" x14ac:dyDescent="0.3">
      <c r="A220" s="44"/>
      <c r="B220" s="44"/>
      <c r="C220" s="44"/>
      <c r="D220" s="44"/>
      <c r="E220" s="44"/>
      <c r="F220" s="44"/>
      <c r="G220" s="44"/>
      <c r="H220" s="44"/>
    </row>
    <row r="221" spans="1:8" customFormat="1" ht="15.6" x14ac:dyDescent="0.3">
      <c r="A221" s="44"/>
      <c r="B221" s="44"/>
      <c r="C221" s="44"/>
      <c r="D221" s="44"/>
      <c r="E221" s="44"/>
      <c r="F221" s="44"/>
      <c r="G221" s="44"/>
      <c r="H221" s="44"/>
    </row>
    <row r="222" spans="1:8" customFormat="1" ht="15.6" x14ac:dyDescent="0.3">
      <c r="A222" s="44"/>
      <c r="B222" s="44"/>
      <c r="C222" s="44"/>
      <c r="D222" s="44"/>
      <c r="E222" s="44"/>
      <c r="F222" s="44"/>
      <c r="G222" s="44"/>
      <c r="H222" s="44"/>
    </row>
    <row r="223" spans="1:8" customFormat="1" ht="15.6" x14ac:dyDescent="0.3">
      <c r="A223" s="44"/>
      <c r="B223" s="44"/>
      <c r="C223" s="44"/>
      <c r="D223" s="44"/>
      <c r="E223" s="44"/>
      <c r="F223" s="44"/>
      <c r="G223" s="44"/>
      <c r="H223" s="44"/>
    </row>
    <row r="224" spans="1:8" customFormat="1" ht="15.6" x14ac:dyDescent="0.3">
      <c r="A224" s="44"/>
      <c r="B224" s="44"/>
      <c r="C224" s="44"/>
      <c r="D224" s="44"/>
      <c r="E224" s="44"/>
      <c r="F224" s="44"/>
      <c r="G224" s="44"/>
      <c r="H224" s="44"/>
    </row>
    <row r="225" spans="1:8" customFormat="1" ht="15.6" x14ac:dyDescent="0.3">
      <c r="A225" s="44"/>
      <c r="B225" s="44"/>
      <c r="C225" s="44"/>
      <c r="D225" s="44"/>
      <c r="E225" s="44"/>
      <c r="F225" s="44"/>
      <c r="G225" s="44"/>
      <c r="H225" s="44"/>
    </row>
    <row r="226" spans="1:8" customFormat="1" ht="15.6" x14ac:dyDescent="0.3">
      <c r="A226" s="44"/>
      <c r="B226" s="44"/>
      <c r="C226" s="44"/>
      <c r="D226" s="44"/>
      <c r="E226" s="44"/>
      <c r="F226" s="44"/>
      <c r="G226" s="44"/>
      <c r="H226" s="44"/>
    </row>
    <row r="227" spans="1:8" customFormat="1" ht="15.6" x14ac:dyDescent="0.3">
      <c r="A227" s="44"/>
      <c r="B227" s="44"/>
      <c r="C227" s="44"/>
      <c r="D227" s="44"/>
      <c r="E227" s="44"/>
      <c r="F227" s="44"/>
      <c r="G227" s="44"/>
      <c r="H227" s="44"/>
    </row>
    <row r="228" spans="1:8" customFormat="1" ht="15.6" x14ac:dyDescent="0.3">
      <c r="A228" s="44"/>
      <c r="B228" s="44"/>
      <c r="C228" s="44"/>
      <c r="D228" s="44"/>
      <c r="E228" s="44"/>
      <c r="F228" s="44"/>
      <c r="G228" s="44"/>
      <c r="H228" s="44"/>
    </row>
    <row r="229" spans="1:8" customFormat="1" ht="15.6" x14ac:dyDescent="0.3">
      <c r="A229" s="44"/>
      <c r="B229" s="44"/>
      <c r="C229" s="44"/>
      <c r="D229" s="44"/>
      <c r="E229" s="44"/>
      <c r="F229" s="44"/>
      <c r="G229" s="44"/>
      <c r="H229" s="44"/>
    </row>
    <row r="230" spans="1:8" customFormat="1" ht="15.6" x14ac:dyDescent="0.3">
      <c r="A230" s="44"/>
      <c r="B230" s="44"/>
      <c r="C230" s="44"/>
      <c r="D230" s="44"/>
      <c r="E230" s="44"/>
      <c r="F230" s="44"/>
      <c r="G230" s="44"/>
      <c r="H230" s="44"/>
    </row>
    <row r="231" spans="1:8" customFormat="1" ht="15.6" x14ac:dyDescent="0.3">
      <c r="A231" s="44"/>
      <c r="B231" s="44"/>
      <c r="C231" s="44"/>
      <c r="D231" s="44"/>
      <c r="E231" s="44"/>
      <c r="F231" s="44"/>
      <c r="G231" s="44"/>
      <c r="H231" s="44"/>
    </row>
    <row r="232" spans="1:8" customFormat="1" ht="15.6" x14ac:dyDescent="0.3">
      <c r="A232" s="44"/>
      <c r="B232" s="44"/>
      <c r="C232" s="44"/>
      <c r="D232" s="44"/>
      <c r="E232" s="44"/>
      <c r="F232" s="44"/>
      <c r="G232" s="44"/>
      <c r="H232" s="44"/>
    </row>
    <row r="233" spans="1:8" customFormat="1" ht="15.6" x14ac:dyDescent="0.3">
      <c r="A233" s="44"/>
      <c r="B233" s="44"/>
      <c r="C233" s="44"/>
      <c r="D233" s="44"/>
      <c r="E233" s="44"/>
      <c r="F233" s="44"/>
      <c r="G233" s="44"/>
      <c r="H233" s="44"/>
    </row>
    <row r="234" spans="1:8" customFormat="1" ht="15.6" x14ac:dyDescent="0.3">
      <c r="A234" s="44"/>
      <c r="B234" s="44"/>
      <c r="C234" s="44"/>
      <c r="D234" s="44"/>
      <c r="E234" s="44"/>
      <c r="F234" s="44"/>
      <c r="G234" s="44"/>
      <c r="H234" s="44"/>
    </row>
    <row r="235" spans="1:8" customFormat="1" ht="15.6" x14ac:dyDescent="0.3">
      <c r="A235" s="44"/>
      <c r="B235" s="44"/>
      <c r="C235" s="44"/>
      <c r="D235" s="44"/>
      <c r="E235" s="44"/>
      <c r="F235" s="44"/>
      <c r="G235" s="44"/>
      <c r="H235" s="44"/>
    </row>
    <row r="236" spans="1:8" customFormat="1" ht="15.6" x14ac:dyDescent="0.3">
      <c r="A236" s="44"/>
      <c r="B236" s="44"/>
      <c r="C236" s="44"/>
      <c r="D236" s="44"/>
      <c r="E236" s="44"/>
      <c r="F236" s="44"/>
      <c r="G236" s="44"/>
      <c r="H236" s="44"/>
    </row>
    <row r="237" spans="1:8" customFormat="1" ht="15.6" x14ac:dyDescent="0.3">
      <c r="A237" s="44"/>
      <c r="B237" s="44"/>
      <c r="C237" s="44"/>
      <c r="D237" s="44"/>
      <c r="E237" s="44"/>
      <c r="F237" s="44"/>
      <c r="G237" s="44"/>
      <c r="H237" s="44"/>
    </row>
    <row r="238" spans="1:8" customFormat="1" ht="15.6" x14ac:dyDescent="0.3">
      <c r="A238" s="44"/>
      <c r="B238" s="44"/>
      <c r="C238" s="44"/>
      <c r="D238" s="44"/>
      <c r="E238" s="44"/>
      <c r="F238" s="44"/>
      <c r="G238" s="44"/>
      <c r="H238" s="44"/>
    </row>
    <row r="239" spans="1:8" customFormat="1" ht="15.6" x14ac:dyDescent="0.3">
      <c r="A239" s="44"/>
      <c r="B239" s="44"/>
      <c r="C239" s="44"/>
      <c r="D239" s="44"/>
      <c r="E239" s="44"/>
      <c r="F239" s="44"/>
      <c r="G239" s="44"/>
      <c r="H239" s="44"/>
    </row>
    <row r="240" spans="1:8" customFormat="1" ht="15.6" x14ac:dyDescent="0.3">
      <c r="A240" s="44"/>
      <c r="B240" s="44"/>
      <c r="C240" s="44"/>
      <c r="D240" s="44"/>
      <c r="E240" s="44"/>
      <c r="F240" s="44"/>
      <c r="G240" s="44"/>
      <c r="H240" s="44"/>
    </row>
    <row r="241" spans="1:8" customFormat="1" ht="15.6" x14ac:dyDescent="0.3">
      <c r="A241" s="44"/>
      <c r="B241" s="44"/>
      <c r="C241" s="44"/>
      <c r="D241" s="44"/>
      <c r="E241" s="44"/>
      <c r="F241" s="44"/>
      <c r="G241" s="44"/>
      <c r="H241" s="44"/>
    </row>
    <row r="242" spans="1:8" customFormat="1" ht="15.6" x14ac:dyDescent="0.3">
      <c r="A242" s="44"/>
      <c r="B242" s="44"/>
      <c r="C242" s="44"/>
      <c r="D242" s="44"/>
      <c r="E242" s="44"/>
      <c r="F242" s="44"/>
      <c r="G242" s="44"/>
      <c r="H242" s="44"/>
    </row>
    <row r="243" spans="1:8" customFormat="1" ht="15.6" x14ac:dyDescent="0.3">
      <c r="A243" s="44"/>
      <c r="B243" s="44"/>
      <c r="C243" s="44"/>
      <c r="D243" s="44"/>
      <c r="E243" s="44"/>
      <c r="F243" s="44"/>
      <c r="G243" s="44"/>
      <c r="H243" s="44"/>
    </row>
    <row r="244" spans="1:8" customFormat="1" ht="15.6" x14ac:dyDescent="0.3">
      <c r="A244" s="44"/>
      <c r="B244" s="44"/>
      <c r="C244" s="44"/>
      <c r="D244" s="44"/>
      <c r="E244" s="44"/>
      <c r="F244" s="44"/>
      <c r="G244" s="44"/>
      <c r="H244" s="44"/>
    </row>
    <row r="245" spans="1:8" customFormat="1" ht="15.6" x14ac:dyDescent="0.3">
      <c r="A245" s="44"/>
      <c r="B245" s="44"/>
      <c r="C245" s="44"/>
      <c r="D245" s="44"/>
      <c r="E245" s="44"/>
      <c r="F245" s="44"/>
      <c r="G245" s="44"/>
      <c r="H245" s="44"/>
    </row>
    <row r="246" spans="1:8" customFormat="1" ht="15.6" x14ac:dyDescent="0.3">
      <c r="A246" s="44"/>
      <c r="B246" s="44"/>
      <c r="C246" s="44"/>
      <c r="D246" s="44"/>
      <c r="E246" s="44"/>
      <c r="F246" s="44"/>
      <c r="G246" s="44"/>
      <c r="H246" s="44"/>
    </row>
    <row r="247" spans="1:8" customFormat="1" ht="15.6" x14ac:dyDescent="0.3">
      <c r="A247" s="44"/>
      <c r="B247" s="44"/>
      <c r="C247" s="44"/>
      <c r="D247" s="44"/>
      <c r="E247" s="44"/>
      <c r="F247" s="44"/>
      <c r="G247" s="44"/>
      <c r="H247" s="44"/>
    </row>
    <row r="248" spans="1:8" customFormat="1" ht="15.6" x14ac:dyDescent="0.3">
      <c r="A248" s="44"/>
      <c r="B248" s="44"/>
      <c r="C248" s="44"/>
      <c r="D248" s="44"/>
      <c r="E248" s="44"/>
      <c r="F248" s="44"/>
      <c r="G248" s="44"/>
      <c r="H248" s="44"/>
    </row>
    <row r="249" spans="1:8" customFormat="1" ht="15.6" x14ac:dyDescent="0.3">
      <c r="A249" s="44"/>
      <c r="B249" s="44"/>
      <c r="C249" s="44"/>
      <c r="D249" s="44"/>
      <c r="E249" s="44"/>
      <c r="F249" s="44"/>
      <c r="G249" s="44"/>
      <c r="H249" s="44"/>
    </row>
    <row r="250" spans="1:8" customFormat="1" ht="15.6" x14ac:dyDescent="0.3">
      <c r="A250" s="44"/>
      <c r="B250" s="44"/>
      <c r="C250" s="44"/>
      <c r="D250" s="44"/>
      <c r="E250" s="44"/>
      <c r="F250" s="44"/>
      <c r="G250" s="44"/>
      <c r="H250" s="44"/>
    </row>
    <row r="251" spans="1:8" customFormat="1" ht="15.6" x14ac:dyDescent="0.3">
      <c r="A251" s="44"/>
      <c r="B251" s="44"/>
      <c r="C251" s="44"/>
      <c r="D251" s="44"/>
      <c r="E251" s="44"/>
      <c r="F251" s="44"/>
      <c r="G251" s="44"/>
      <c r="H251" s="44"/>
    </row>
    <row r="252" spans="1:8" customFormat="1" ht="15.6" x14ac:dyDescent="0.3">
      <c r="A252" s="44"/>
      <c r="B252" s="44"/>
      <c r="C252" s="44"/>
      <c r="D252" s="44"/>
      <c r="E252" s="44"/>
      <c r="F252" s="44"/>
      <c r="G252" s="44"/>
      <c r="H252" s="44"/>
    </row>
    <row r="253" spans="1:8" customFormat="1" ht="15.6" x14ac:dyDescent="0.3">
      <c r="A253" s="44"/>
      <c r="B253" s="44"/>
      <c r="C253" s="44"/>
      <c r="D253" s="44"/>
      <c r="E253" s="44"/>
      <c r="F253" s="44"/>
      <c r="G253" s="44"/>
      <c r="H253" s="44"/>
    </row>
    <row r="254" spans="1:8" customFormat="1" ht="15.6" x14ac:dyDescent="0.3">
      <c r="A254" s="44"/>
      <c r="B254" s="44"/>
      <c r="C254" s="44"/>
      <c r="D254" s="44"/>
      <c r="E254" s="44"/>
      <c r="F254" s="44"/>
      <c r="G254" s="44"/>
      <c r="H254" s="44"/>
    </row>
    <row r="255" spans="1:8" customFormat="1" ht="15.6" x14ac:dyDescent="0.3">
      <c r="A255" s="44"/>
      <c r="B255" s="44"/>
      <c r="C255" s="44"/>
      <c r="D255" s="44"/>
      <c r="E255" s="44"/>
      <c r="F255" s="44"/>
      <c r="G255" s="44"/>
      <c r="H255" s="44"/>
    </row>
    <row r="256" spans="1:8" customFormat="1" ht="15.6" x14ac:dyDescent="0.3">
      <c r="A256" s="44"/>
      <c r="B256" s="44"/>
      <c r="C256" s="44"/>
      <c r="D256" s="44"/>
      <c r="E256" s="44"/>
      <c r="F256" s="44"/>
      <c r="G256" s="44"/>
      <c r="H256" s="44"/>
    </row>
    <row r="257" spans="1:8" customFormat="1" ht="15.6" x14ac:dyDescent="0.3">
      <c r="A257" s="44"/>
      <c r="B257" s="44"/>
      <c r="C257" s="44"/>
      <c r="D257" s="44"/>
      <c r="E257" s="44"/>
      <c r="F257" s="44"/>
      <c r="G257" s="44"/>
      <c r="H257" s="44"/>
    </row>
    <row r="258" spans="1:8" customFormat="1" ht="15.6" x14ac:dyDescent="0.3">
      <c r="A258" s="44"/>
      <c r="B258" s="44"/>
      <c r="C258" s="44"/>
      <c r="D258" s="44"/>
      <c r="E258" s="44"/>
      <c r="F258" s="44"/>
      <c r="G258" s="44"/>
      <c r="H258" s="44"/>
    </row>
    <row r="259" spans="1:8" customFormat="1" ht="15.6" x14ac:dyDescent="0.3">
      <c r="A259" s="44"/>
      <c r="B259" s="44"/>
      <c r="C259" s="44"/>
      <c r="D259" s="44"/>
      <c r="E259" s="44"/>
      <c r="F259" s="44"/>
      <c r="G259" s="44"/>
      <c r="H259" s="44"/>
    </row>
    <row r="260" spans="1:8" customFormat="1" ht="15.6" x14ac:dyDescent="0.3">
      <c r="A260" s="44"/>
      <c r="B260" s="44"/>
      <c r="C260" s="44"/>
      <c r="D260" s="44"/>
      <c r="E260" s="44"/>
      <c r="F260" s="44"/>
      <c r="G260" s="44"/>
      <c r="H260" s="44"/>
    </row>
    <row r="261" spans="1:8" customFormat="1" ht="15.6" x14ac:dyDescent="0.3">
      <c r="A261" s="44"/>
      <c r="B261" s="44"/>
      <c r="C261" s="44"/>
      <c r="D261" s="44"/>
      <c r="E261" s="44"/>
      <c r="F261" s="44"/>
      <c r="G261" s="44"/>
      <c r="H261" s="44"/>
    </row>
    <row r="262" spans="1:8" customFormat="1" ht="15.6" x14ac:dyDescent="0.3">
      <c r="A262" s="44"/>
      <c r="B262" s="44"/>
      <c r="C262" s="44"/>
      <c r="D262" s="44"/>
      <c r="E262" s="44"/>
      <c r="F262" s="44"/>
      <c r="G262" s="44"/>
      <c r="H262" s="44"/>
    </row>
    <row r="263" spans="1:8" customFormat="1" ht="15.6" x14ac:dyDescent="0.3">
      <c r="A263" s="44"/>
      <c r="B263" s="44"/>
      <c r="C263" s="44"/>
      <c r="D263" s="44"/>
      <c r="E263" s="44"/>
      <c r="F263" s="44"/>
      <c r="G263" s="44"/>
      <c r="H263" s="44"/>
    </row>
    <row r="264" spans="1:8" customFormat="1" ht="15.6" x14ac:dyDescent="0.3">
      <c r="A264" s="44"/>
      <c r="B264" s="44"/>
      <c r="C264" s="44"/>
      <c r="D264" s="44"/>
      <c r="E264" s="44"/>
      <c r="F264" s="44"/>
      <c r="G264" s="44"/>
      <c r="H264" s="44"/>
    </row>
    <row r="265" spans="1:8" customFormat="1" ht="15.6" x14ac:dyDescent="0.3">
      <c r="A265" s="44"/>
      <c r="B265" s="44"/>
      <c r="C265" s="44"/>
      <c r="D265" s="44"/>
      <c r="E265" s="44"/>
      <c r="F265" s="44"/>
      <c r="G265" s="44"/>
      <c r="H265" s="44"/>
    </row>
    <row r="266" spans="1:8" customFormat="1" ht="15.6" x14ac:dyDescent="0.3">
      <c r="A266" s="44"/>
      <c r="B266" s="44"/>
      <c r="C266" s="44"/>
      <c r="D266" s="44"/>
      <c r="E266" s="44"/>
      <c r="F266" s="44"/>
      <c r="G266" s="44"/>
      <c r="H266" s="44"/>
    </row>
    <row r="267" spans="1:8" customFormat="1" ht="15.6" x14ac:dyDescent="0.3">
      <c r="A267" s="44"/>
      <c r="B267" s="44"/>
      <c r="C267" s="44"/>
      <c r="D267" s="44"/>
      <c r="E267" s="44"/>
      <c r="F267" s="44"/>
      <c r="G267" s="44"/>
      <c r="H267" s="44"/>
    </row>
    <row r="268" spans="1:8" customFormat="1" ht="15.6" x14ac:dyDescent="0.3">
      <c r="A268" s="44"/>
      <c r="B268" s="44"/>
      <c r="C268" s="44"/>
      <c r="D268" s="44"/>
      <c r="E268" s="44"/>
      <c r="F268" s="44"/>
      <c r="G268" s="44"/>
      <c r="H268" s="44"/>
    </row>
    <row r="269" spans="1:8" customFormat="1" ht="15.6" x14ac:dyDescent="0.3">
      <c r="A269" s="44"/>
      <c r="B269" s="44"/>
      <c r="C269" s="44"/>
      <c r="D269" s="44"/>
      <c r="E269" s="44"/>
      <c r="F269" s="44"/>
      <c r="G269" s="44"/>
      <c r="H269" s="44"/>
    </row>
    <row r="270" spans="1:8" customFormat="1" ht="15.6" x14ac:dyDescent="0.3">
      <c r="A270" s="44"/>
      <c r="B270" s="44"/>
      <c r="C270" s="44"/>
      <c r="D270" s="44"/>
      <c r="E270" s="44"/>
      <c r="F270" s="44"/>
      <c r="G270" s="44"/>
      <c r="H270" s="44"/>
    </row>
    <row r="271" spans="1:8" customFormat="1" ht="15.6" x14ac:dyDescent="0.3">
      <c r="A271" s="44"/>
      <c r="B271" s="44"/>
      <c r="C271" s="44"/>
      <c r="D271" s="44"/>
      <c r="E271" s="44"/>
      <c r="F271" s="44"/>
      <c r="G271" s="44"/>
      <c r="H271" s="44"/>
    </row>
    <row r="272" spans="1:8" customFormat="1" ht="15.6" x14ac:dyDescent="0.3">
      <c r="A272" s="44"/>
      <c r="B272" s="44"/>
      <c r="C272" s="44"/>
      <c r="D272" s="44"/>
      <c r="E272" s="44"/>
      <c r="F272" s="44"/>
      <c r="G272" s="44"/>
      <c r="H272" s="44"/>
    </row>
    <row r="273" spans="1:8" customFormat="1" ht="15.6" x14ac:dyDescent="0.3">
      <c r="A273" s="44"/>
      <c r="B273" s="44"/>
      <c r="C273" s="44"/>
      <c r="D273" s="44"/>
      <c r="E273" s="44"/>
      <c r="F273" s="44"/>
      <c r="G273" s="44"/>
      <c r="H273" s="44"/>
    </row>
    <row r="274" spans="1:8" customFormat="1" ht="15.6" x14ac:dyDescent="0.3">
      <c r="A274" s="44"/>
      <c r="B274" s="44"/>
      <c r="C274" s="44"/>
      <c r="D274" s="44"/>
      <c r="E274" s="44"/>
      <c r="F274" s="44"/>
      <c r="G274" s="44"/>
      <c r="H274" s="44"/>
    </row>
    <row r="275" spans="1:8" customFormat="1" ht="15.6" x14ac:dyDescent="0.3">
      <c r="A275" s="44"/>
      <c r="B275" s="44"/>
      <c r="C275" s="44"/>
      <c r="D275" s="44"/>
      <c r="E275" s="44"/>
      <c r="F275" s="44"/>
      <c r="G275" s="44"/>
      <c r="H275" s="44"/>
    </row>
    <row r="276" spans="1:8" customFormat="1" ht="15.6" x14ac:dyDescent="0.3">
      <c r="A276" s="44"/>
      <c r="B276" s="44"/>
      <c r="C276" s="44"/>
      <c r="D276" s="44"/>
      <c r="E276" s="44"/>
      <c r="F276" s="44"/>
      <c r="G276" s="44"/>
      <c r="H276" s="44"/>
    </row>
  </sheetData>
  <mergeCells count="5">
    <mergeCell ref="B5:C5"/>
    <mergeCell ref="E5:G5"/>
    <mergeCell ref="B1:G1"/>
    <mergeCell ref="B2:G2"/>
    <mergeCell ref="B3:G3"/>
  </mergeCells>
  <pageMargins left="0.25" right="0.25" top="0.75" bottom="0.75" header="0.3" footer="0.3"/>
  <pageSetup paperSize="9" scale="78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8E0A-6A8E-48A4-AAB1-190CB345CC28}">
  <dimension ref="A2"/>
  <sheetViews>
    <sheetView showGridLines="0" topLeftCell="A3" zoomScale="80" zoomScaleNormal="80" workbookViewId="0">
      <selection activeCell="A3" sqref="A3"/>
    </sheetView>
  </sheetViews>
  <sheetFormatPr defaultRowHeight="15.6" x14ac:dyDescent="0.3"/>
  <cols>
    <col min="1" max="1" width="5.08984375" customWidth="1"/>
    <col min="2" max="5" width="10.90625" customWidth="1"/>
    <col min="6" max="6" width="9.1796875" customWidth="1"/>
    <col min="7" max="256" width="10.90625" customWidth="1"/>
  </cols>
  <sheetData>
    <row r="2" spans="1:1" x14ac:dyDescent="0.3">
      <c r="A2" s="24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FC68-89BE-419D-A762-BB6EEE344913}">
  <dimension ref="A1:O81"/>
  <sheetViews>
    <sheetView workbookViewId="0">
      <selection activeCell="Q23" sqref="Q23"/>
    </sheetView>
  </sheetViews>
  <sheetFormatPr defaultColWidth="11.54296875" defaultRowHeight="13.2" outlineLevelCol="1" x14ac:dyDescent="0.25"/>
  <cols>
    <col min="1" max="1" width="23.6328125" style="20" bestFit="1" customWidth="1"/>
    <col min="2" max="2" width="9.08984375" style="20" bestFit="1" customWidth="1" outlineLevel="1"/>
    <col min="3" max="3" width="8.36328125" style="20" bestFit="1" customWidth="1" outlineLevel="1"/>
    <col min="4" max="4" width="7.54296875" style="20" bestFit="1" customWidth="1" outlineLevel="1"/>
    <col min="5" max="9" width="8.26953125" style="20" bestFit="1" customWidth="1" outlineLevel="1"/>
    <col min="10" max="10" width="7.453125" style="20" bestFit="1" customWidth="1" outlineLevel="1"/>
    <col min="11" max="12" width="8.26953125" style="20" bestFit="1" customWidth="1" outlineLevel="1"/>
    <col min="13" max="13" width="8.36328125" style="20" bestFit="1" customWidth="1" outlineLevel="1"/>
    <col min="14" max="14" width="9.54296875" style="21" bestFit="1" customWidth="1"/>
    <col min="15" max="16384" width="11.54296875" style="20"/>
  </cols>
  <sheetData>
    <row r="1" spans="1:15" ht="13.8" x14ac:dyDescent="0.25">
      <c r="A1" s="213"/>
      <c r="B1" s="213" t="s">
        <v>116</v>
      </c>
      <c r="C1" s="213" t="s">
        <v>117</v>
      </c>
      <c r="D1" s="213" t="s">
        <v>118</v>
      </c>
      <c r="E1" s="213" t="s">
        <v>119</v>
      </c>
      <c r="F1" s="213" t="s">
        <v>120</v>
      </c>
      <c r="G1" s="213" t="s">
        <v>121</v>
      </c>
      <c r="H1" s="213" t="s">
        <v>122</v>
      </c>
      <c r="I1" s="213" t="s">
        <v>123</v>
      </c>
      <c r="J1" s="213" t="s">
        <v>124</v>
      </c>
      <c r="K1" s="213" t="s">
        <v>125</v>
      </c>
      <c r="L1" s="213" t="s">
        <v>126</v>
      </c>
      <c r="M1" s="213" t="s">
        <v>127</v>
      </c>
      <c r="N1" s="213" t="s">
        <v>0</v>
      </c>
      <c r="O1" s="24"/>
    </row>
    <row r="2" spans="1:15" ht="13.8" x14ac:dyDescent="0.25">
      <c r="A2" s="214" t="s">
        <v>128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3.8" x14ac:dyDescent="0.25">
      <c r="A3" s="214" t="s">
        <v>263</v>
      </c>
      <c r="B3" s="215">
        <v>100016.34</v>
      </c>
      <c r="C3" s="216">
        <v>123715.1</v>
      </c>
      <c r="D3" s="216">
        <v>91259.78</v>
      </c>
      <c r="E3" s="216">
        <v>134069.37</v>
      </c>
      <c r="F3" s="216">
        <v>140676.76</v>
      </c>
      <c r="G3" s="216">
        <v>124228.07</v>
      </c>
      <c r="H3" s="216">
        <v>124443.39</v>
      </c>
      <c r="I3" s="216">
        <v>133914.32999999999</v>
      </c>
      <c r="J3" s="216">
        <v>96938.73</v>
      </c>
      <c r="K3" s="216">
        <v>147528.91</v>
      </c>
      <c r="L3" s="216">
        <v>130791.46</v>
      </c>
      <c r="M3" s="216">
        <v>8853.86</v>
      </c>
      <c r="N3" s="216">
        <f>SUM(B3:M3)</f>
        <v>1356436.0999999999</v>
      </c>
      <c r="O3" s="24"/>
    </row>
    <row r="4" spans="1:15" ht="13.8" x14ac:dyDescent="0.25">
      <c r="A4" s="139" t="s">
        <v>294</v>
      </c>
      <c r="B4" s="217">
        <v>0</v>
      </c>
      <c r="C4" s="217">
        <v>0</v>
      </c>
      <c r="D4" s="217">
        <v>0</v>
      </c>
      <c r="E4" s="217">
        <v>0</v>
      </c>
      <c r="F4" s="217">
        <v>0</v>
      </c>
      <c r="G4" s="217">
        <v>0</v>
      </c>
      <c r="H4" s="217">
        <v>0</v>
      </c>
      <c r="I4" s="217">
        <v>6.89</v>
      </c>
      <c r="J4" s="217">
        <v>0</v>
      </c>
      <c r="K4" s="217">
        <v>0</v>
      </c>
      <c r="L4" s="217">
        <v>0</v>
      </c>
      <c r="M4" s="217">
        <v>0</v>
      </c>
      <c r="N4" s="218">
        <f t="shared" ref="N4:N67" si="0">SUM(B4:M4)</f>
        <v>6.89</v>
      </c>
      <c r="O4" s="219"/>
    </row>
    <row r="5" spans="1:15" ht="13.8" x14ac:dyDescent="0.25">
      <c r="A5" s="139" t="s">
        <v>305</v>
      </c>
      <c r="B5" s="217">
        <v>-651.82000000000005</v>
      </c>
      <c r="C5" s="217">
        <v>0</v>
      </c>
      <c r="D5" s="217">
        <v>-683.64</v>
      </c>
      <c r="E5" s="217">
        <v>-432.02</v>
      </c>
      <c r="F5" s="217">
        <v>-688.34</v>
      </c>
      <c r="G5" s="217">
        <v>0</v>
      </c>
      <c r="H5" s="217">
        <v>-6.96</v>
      </c>
      <c r="I5" s="217">
        <v>0</v>
      </c>
      <c r="J5" s="217">
        <v>-947.64</v>
      </c>
      <c r="K5" s="217">
        <v>0</v>
      </c>
      <c r="L5" s="217">
        <v>-320</v>
      </c>
      <c r="M5" s="217">
        <v>0</v>
      </c>
      <c r="N5" s="218">
        <f t="shared" si="0"/>
        <v>-3730.42</v>
      </c>
      <c r="O5" s="219"/>
    </row>
    <row r="6" spans="1:15" ht="13.8" x14ac:dyDescent="0.25">
      <c r="A6" s="139" t="s">
        <v>306</v>
      </c>
      <c r="B6" s="217">
        <v>0</v>
      </c>
      <c r="C6" s="217">
        <v>0</v>
      </c>
      <c r="D6" s="217">
        <v>0</v>
      </c>
      <c r="E6" s="217">
        <v>0</v>
      </c>
      <c r="F6" s="217">
        <v>0</v>
      </c>
      <c r="G6" s="217">
        <v>0</v>
      </c>
      <c r="H6" s="217">
        <v>0</v>
      </c>
      <c r="I6" s="217">
        <v>0</v>
      </c>
      <c r="J6" s="217">
        <v>0</v>
      </c>
      <c r="K6" s="217">
        <v>0</v>
      </c>
      <c r="L6" s="217">
        <v>0.3</v>
      </c>
      <c r="M6" s="217">
        <v>0</v>
      </c>
      <c r="N6" s="218">
        <f t="shared" si="0"/>
        <v>0.3</v>
      </c>
      <c r="O6" s="219"/>
    </row>
    <row r="7" spans="1:15" customFormat="1" ht="15.6" x14ac:dyDescent="0.3">
      <c r="A7" s="220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/>
      <c r="O7" s="44"/>
    </row>
    <row r="8" spans="1:15" ht="13.8" x14ac:dyDescent="0.25">
      <c r="A8" s="226" t="s">
        <v>129</v>
      </c>
      <c r="B8" s="227">
        <f t="shared" ref="B8:M8" si="1">ROUND(SUBTOTAL(9, B2:B7), 5)</f>
        <v>99364.52</v>
      </c>
      <c r="C8" s="227">
        <f t="shared" si="1"/>
        <v>123715.1</v>
      </c>
      <c r="D8" s="227">
        <f t="shared" si="1"/>
        <v>90576.14</v>
      </c>
      <c r="E8" s="227">
        <f t="shared" si="1"/>
        <v>133637.35</v>
      </c>
      <c r="F8" s="227">
        <f t="shared" si="1"/>
        <v>139988.42000000001</v>
      </c>
      <c r="G8" s="227">
        <f t="shared" si="1"/>
        <v>124228.07</v>
      </c>
      <c r="H8" s="227">
        <f t="shared" si="1"/>
        <v>124436.43</v>
      </c>
      <c r="I8" s="227">
        <f t="shared" si="1"/>
        <v>133921.22</v>
      </c>
      <c r="J8" s="227">
        <f t="shared" si="1"/>
        <v>95991.09</v>
      </c>
      <c r="K8" s="227">
        <f t="shared" si="1"/>
        <v>147528.91</v>
      </c>
      <c r="L8" s="227">
        <f t="shared" si="1"/>
        <v>130471.76</v>
      </c>
      <c r="M8" s="227">
        <f t="shared" si="1"/>
        <v>8853.86</v>
      </c>
      <c r="N8" s="227">
        <f t="shared" si="0"/>
        <v>1352712.87</v>
      </c>
      <c r="O8" s="228"/>
    </row>
    <row r="9" spans="1:15" customFormat="1" ht="15.6" x14ac:dyDescent="0.3">
      <c r="A9" s="220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2"/>
      <c r="O9" s="44"/>
    </row>
    <row r="10" spans="1:15" ht="13.8" x14ac:dyDescent="0.25">
      <c r="A10" s="223" t="s">
        <v>130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24"/>
      <c r="O10" s="219"/>
    </row>
    <row r="11" spans="1:15" ht="13.8" x14ac:dyDescent="0.25">
      <c r="A11" s="139" t="s">
        <v>131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24"/>
      <c r="O11" s="219"/>
    </row>
    <row r="12" spans="1:15" ht="13.8" x14ac:dyDescent="0.25">
      <c r="A12" s="139" t="s">
        <v>131</v>
      </c>
      <c r="B12" s="217">
        <v>45131.22</v>
      </c>
      <c r="C12" s="217">
        <v>45450.83</v>
      </c>
      <c r="D12" s="217">
        <v>38545.06</v>
      </c>
      <c r="E12" s="217">
        <v>52158.22</v>
      </c>
      <c r="F12" s="217">
        <v>62097.64</v>
      </c>
      <c r="G12" s="217">
        <v>47696.24</v>
      </c>
      <c r="H12" s="217">
        <v>52125</v>
      </c>
      <c r="I12" s="217">
        <v>52098.93</v>
      </c>
      <c r="J12" s="217">
        <v>37095.4</v>
      </c>
      <c r="K12" s="217">
        <v>59081.55</v>
      </c>
      <c r="L12" s="217">
        <v>52623.96</v>
      </c>
      <c r="M12" s="217">
        <v>4558.84</v>
      </c>
      <c r="N12" s="218">
        <f t="shared" si="0"/>
        <v>548662.89</v>
      </c>
      <c r="O12" s="219"/>
    </row>
    <row r="13" spans="1:15" ht="13.8" x14ac:dyDescent="0.25">
      <c r="A13" s="139" t="s">
        <v>307</v>
      </c>
      <c r="B13" s="217">
        <v>646.38</v>
      </c>
      <c r="C13" s="217">
        <v>507.1</v>
      </c>
      <c r="D13" s="217">
        <v>12</v>
      </c>
      <c r="E13" s="217">
        <v>261.88</v>
      </c>
      <c r="F13" s="217">
        <v>292</v>
      </c>
      <c r="G13" s="217">
        <v>210</v>
      </c>
      <c r="H13" s="217">
        <v>1403.21</v>
      </c>
      <c r="I13" s="217">
        <v>8660.42</v>
      </c>
      <c r="J13" s="217">
        <v>47</v>
      </c>
      <c r="K13" s="217">
        <v>1623.15</v>
      </c>
      <c r="L13" s="217">
        <v>1658.76</v>
      </c>
      <c r="M13" s="217">
        <v>35</v>
      </c>
      <c r="N13" s="218">
        <f t="shared" si="0"/>
        <v>15356.9</v>
      </c>
      <c r="O13" s="219"/>
    </row>
    <row r="14" spans="1:15" ht="13.8" x14ac:dyDescent="0.25">
      <c r="A14" s="139" t="s">
        <v>308</v>
      </c>
      <c r="B14" s="217">
        <v>0</v>
      </c>
      <c r="C14" s="217">
        <v>-39.1</v>
      </c>
      <c r="D14" s="217">
        <v>0</v>
      </c>
      <c r="E14" s="217">
        <v>0</v>
      </c>
      <c r="F14" s="217">
        <v>-10.79</v>
      </c>
      <c r="G14" s="217">
        <v>0</v>
      </c>
      <c r="H14" s="217">
        <v>0</v>
      </c>
      <c r="I14" s="217">
        <v>0</v>
      </c>
      <c r="J14" s="217">
        <v>0</v>
      </c>
      <c r="K14" s="217">
        <v>0</v>
      </c>
      <c r="L14" s="217">
        <v>0</v>
      </c>
      <c r="M14" s="217">
        <v>0</v>
      </c>
      <c r="N14" s="218">
        <f t="shared" si="0"/>
        <v>-49.89</v>
      </c>
      <c r="O14" s="219"/>
    </row>
    <row r="15" spans="1:15" ht="13.8" x14ac:dyDescent="0.25">
      <c r="A15" s="139" t="s">
        <v>309</v>
      </c>
      <c r="B15" s="217">
        <v>0</v>
      </c>
      <c r="C15" s="217">
        <v>9.8000000000000007</v>
      </c>
      <c r="D15" s="217">
        <v>0</v>
      </c>
      <c r="E15" s="217">
        <v>0</v>
      </c>
      <c r="F15" s="217">
        <v>0</v>
      </c>
      <c r="G15" s="217">
        <v>0</v>
      </c>
      <c r="H15" s="217">
        <v>0</v>
      </c>
      <c r="I15" s="217">
        <v>0</v>
      </c>
      <c r="J15" s="217">
        <v>0</v>
      </c>
      <c r="K15" s="217">
        <v>0</v>
      </c>
      <c r="L15" s="217">
        <v>0</v>
      </c>
      <c r="M15" s="217">
        <v>0</v>
      </c>
      <c r="N15" s="218">
        <f t="shared" si="0"/>
        <v>9.8000000000000007</v>
      </c>
      <c r="O15" s="219"/>
    </row>
    <row r="16" spans="1:15" ht="13.8" x14ac:dyDescent="0.25">
      <c r="A16" s="139" t="s">
        <v>310</v>
      </c>
      <c r="B16" s="217">
        <v>0</v>
      </c>
      <c r="C16" s="217">
        <v>74.760000000000005</v>
      </c>
      <c r="D16" s="217">
        <v>0</v>
      </c>
      <c r="E16" s="217">
        <v>0</v>
      </c>
      <c r="F16" s="217">
        <v>13.8</v>
      </c>
      <c r="G16" s="217">
        <v>0</v>
      </c>
      <c r="H16" s="217">
        <v>10</v>
      </c>
      <c r="I16" s="217">
        <v>70.72</v>
      </c>
      <c r="J16" s="217">
        <v>11.85</v>
      </c>
      <c r="K16" s="217">
        <v>191.87</v>
      </c>
      <c r="L16" s="217">
        <v>0</v>
      </c>
      <c r="M16" s="217">
        <v>0</v>
      </c>
      <c r="N16" s="218">
        <f t="shared" si="0"/>
        <v>373</v>
      </c>
      <c r="O16" s="219"/>
    </row>
    <row r="17" spans="1:15" ht="13.8" x14ac:dyDescent="0.25">
      <c r="A17" s="139" t="s">
        <v>132</v>
      </c>
      <c r="B17" s="217">
        <v>0</v>
      </c>
      <c r="C17" s="217">
        <v>0</v>
      </c>
      <c r="D17" s="217">
        <v>0</v>
      </c>
      <c r="E17" s="217">
        <v>0</v>
      </c>
      <c r="F17" s="217">
        <v>0</v>
      </c>
      <c r="G17" s="217">
        <v>0</v>
      </c>
      <c r="H17" s="217">
        <v>0</v>
      </c>
      <c r="I17" s="217">
        <v>630</v>
      </c>
      <c r="J17" s="217">
        <v>630</v>
      </c>
      <c r="K17" s="217">
        <v>630</v>
      </c>
      <c r="L17" s="217">
        <v>900</v>
      </c>
      <c r="M17" s="217">
        <v>0</v>
      </c>
      <c r="N17" s="218">
        <f t="shared" si="0"/>
        <v>2790</v>
      </c>
      <c r="O17" s="219"/>
    </row>
    <row r="18" spans="1:15" ht="13.8" x14ac:dyDescent="0.25">
      <c r="A18" s="139" t="s">
        <v>133</v>
      </c>
      <c r="B18" s="217">
        <v>0</v>
      </c>
      <c r="C18" s="217">
        <v>0</v>
      </c>
      <c r="D18" s="217">
        <v>0</v>
      </c>
      <c r="E18" s="217">
        <v>0</v>
      </c>
      <c r="F18" s="217">
        <v>0</v>
      </c>
      <c r="G18" s="217">
        <v>0</v>
      </c>
      <c r="H18" s="217">
        <v>0</v>
      </c>
      <c r="I18" s="217">
        <v>0</v>
      </c>
      <c r="J18" s="217">
        <v>0</v>
      </c>
      <c r="K18" s="217">
        <v>0</v>
      </c>
      <c r="L18" s="217">
        <v>1854.29</v>
      </c>
      <c r="M18" s="217">
        <v>0</v>
      </c>
      <c r="N18" s="218">
        <f t="shared" si="0"/>
        <v>1854.29</v>
      </c>
      <c r="O18" s="219"/>
    </row>
    <row r="19" spans="1:15" customFormat="1" ht="15.6" x14ac:dyDescent="0.3">
      <c r="A19" s="22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2"/>
      <c r="O19" s="44"/>
    </row>
    <row r="20" spans="1:15" ht="13.8" x14ac:dyDescent="0.25">
      <c r="A20" s="226" t="s">
        <v>134</v>
      </c>
      <c r="B20" s="227">
        <f t="shared" ref="B20:M20" si="2">ROUND(SUBTOTAL(9, B10:B19), 5)</f>
        <v>45777.599999999999</v>
      </c>
      <c r="C20" s="227">
        <f t="shared" si="2"/>
        <v>46003.39</v>
      </c>
      <c r="D20" s="227">
        <f t="shared" si="2"/>
        <v>38557.06</v>
      </c>
      <c r="E20" s="227">
        <f t="shared" si="2"/>
        <v>52420.1</v>
      </c>
      <c r="F20" s="227">
        <f t="shared" si="2"/>
        <v>62392.65</v>
      </c>
      <c r="G20" s="227">
        <f t="shared" si="2"/>
        <v>47906.239999999998</v>
      </c>
      <c r="H20" s="227">
        <f t="shared" si="2"/>
        <v>53538.21</v>
      </c>
      <c r="I20" s="227">
        <f t="shared" si="2"/>
        <v>61460.07</v>
      </c>
      <c r="J20" s="227">
        <f t="shared" si="2"/>
        <v>37784.25</v>
      </c>
      <c r="K20" s="227">
        <f t="shared" si="2"/>
        <v>61526.57</v>
      </c>
      <c r="L20" s="227">
        <f t="shared" si="2"/>
        <v>57037.01</v>
      </c>
      <c r="M20" s="227">
        <f t="shared" si="2"/>
        <v>4593.84</v>
      </c>
      <c r="N20" s="227">
        <f t="shared" si="0"/>
        <v>568996.99</v>
      </c>
      <c r="O20" s="228"/>
    </row>
    <row r="21" spans="1:15" customFormat="1" ht="15.6" x14ac:dyDescent="0.3">
      <c r="A21" s="220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2"/>
      <c r="O21" s="44"/>
    </row>
    <row r="22" spans="1:15" ht="13.8" x14ac:dyDescent="0.25">
      <c r="A22" s="226" t="s">
        <v>135</v>
      </c>
      <c r="B22" s="227">
        <f t="shared" ref="B22:M22" si="3">-(ROUND(-B8+B20, 5))</f>
        <v>53586.92</v>
      </c>
      <c r="C22" s="227">
        <f t="shared" si="3"/>
        <v>77711.710000000006</v>
      </c>
      <c r="D22" s="227">
        <f t="shared" si="3"/>
        <v>52019.08</v>
      </c>
      <c r="E22" s="227">
        <f t="shared" si="3"/>
        <v>81217.25</v>
      </c>
      <c r="F22" s="227">
        <f t="shared" si="3"/>
        <v>77595.77</v>
      </c>
      <c r="G22" s="227">
        <f t="shared" si="3"/>
        <v>76321.83</v>
      </c>
      <c r="H22" s="227">
        <f t="shared" si="3"/>
        <v>70898.22</v>
      </c>
      <c r="I22" s="227">
        <f t="shared" si="3"/>
        <v>72461.149999999994</v>
      </c>
      <c r="J22" s="227">
        <f t="shared" si="3"/>
        <v>58206.84</v>
      </c>
      <c r="K22" s="227">
        <f t="shared" si="3"/>
        <v>86002.34</v>
      </c>
      <c r="L22" s="227">
        <f t="shared" si="3"/>
        <v>73434.75</v>
      </c>
      <c r="M22" s="227">
        <f t="shared" si="3"/>
        <v>4260.0200000000004</v>
      </c>
      <c r="N22" s="227">
        <f t="shared" si="0"/>
        <v>783715.88</v>
      </c>
      <c r="O22" s="228"/>
    </row>
    <row r="23" spans="1:15" customFormat="1" ht="15.6" x14ac:dyDescent="0.3">
      <c r="A23" s="220"/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2"/>
      <c r="O23" s="44"/>
    </row>
    <row r="24" spans="1:15" ht="13.8" x14ac:dyDescent="0.25">
      <c r="A24" s="139" t="s">
        <v>136</v>
      </c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24"/>
      <c r="O24" s="219"/>
    </row>
    <row r="25" spans="1:15" ht="13.8" x14ac:dyDescent="0.25">
      <c r="A25" s="139" t="s">
        <v>236</v>
      </c>
      <c r="B25" s="217">
        <v>12230.8</v>
      </c>
      <c r="C25" s="217">
        <v>11600.41</v>
      </c>
      <c r="D25" s="217">
        <v>11250.77</v>
      </c>
      <c r="E25" s="217">
        <v>11559.28</v>
      </c>
      <c r="F25" s="217">
        <v>11121.21</v>
      </c>
      <c r="G25" s="217">
        <v>11092.08</v>
      </c>
      <c r="H25" s="217">
        <v>10708.14</v>
      </c>
      <c r="I25" s="217">
        <v>12861.52</v>
      </c>
      <c r="J25" s="217">
        <v>14213.61</v>
      </c>
      <c r="K25" s="217">
        <v>13865.82</v>
      </c>
      <c r="L25" s="217">
        <v>13409.23</v>
      </c>
      <c r="M25" s="217">
        <v>0</v>
      </c>
      <c r="N25" s="218">
        <f t="shared" si="0"/>
        <v>133912.87</v>
      </c>
      <c r="O25" s="219"/>
    </row>
    <row r="26" spans="1:15" ht="13.8" x14ac:dyDescent="0.25">
      <c r="A26" s="139" t="s">
        <v>137</v>
      </c>
      <c r="B26" s="217">
        <v>1293.58</v>
      </c>
      <c r="C26" s="217">
        <v>1197.53</v>
      </c>
      <c r="D26" s="217">
        <v>1165.3800000000001</v>
      </c>
      <c r="E26" s="217">
        <v>1157.1400000000001</v>
      </c>
      <c r="F26" s="217">
        <v>1298.4000000000001</v>
      </c>
      <c r="G26" s="217">
        <v>1091.18</v>
      </c>
      <c r="H26" s="217">
        <v>1071.1400000000001</v>
      </c>
      <c r="I26" s="217">
        <v>1248.45</v>
      </c>
      <c r="J26" s="217">
        <v>1378.07</v>
      </c>
      <c r="K26" s="217">
        <v>1429.31</v>
      </c>
      <c r="L26" s="217">
        <v>1407.36</v>
      </c>
      <c r="M26" s="217">
        <v>0</v>
      </c>
      <c r="N26" s="218">
        <f t="shared" si="0"/>
        <v>13737.54</v>
      </c>
      <c r="O26" s="219"/>
    </row>
    <row r="27" spans="1:15" ht="13.8" x14ac:dyDescent="0.25">
      <c r="A27" s="139" t="s">
        <v>138</v>
      </c>
      <c r="B27" s="217">
        <v>294.27999999999997</v>
      </c>
      <c r="C27" s="217">
        <v>274.69</v>
      </c>
      <c r="D27" s="217">
        <v>283.94</v>
      </c>
      <c r="E27" s="217">
        <v>259.55</v>
      </c>
      <c r="F27" s="217">
        <v>302.60000000000002</v>
      </c>
      <c r="G27" s="217">
        <v>230.83</v>
      </c>
      <c r="H27" s="217">
        <v>253.74</v>
      </c>
      <c r="I27" s="217">
        <v>275.05</v>
      </c>
      <c r="J27" s="217">
        <v>291.51</v>
      </c>
      <c r="K27" s="217">
        <v>330.3</v>
      </c>
      <c r="L27" s="217">
        <v>320.75</v>
      </c>
      <c r="M27" s="217">
        <v>0</v>
      </c>
      <c r="N27" s="218">
        <f t="shared" si="0"/>
        <v>3117.24</v>
      </c>
      <c r="O27" s="219"/>
    </row>
    <row r="28" spans="1:15" ht="13.8" x14ac:dyDescent="0.25">
      <c r="A28" s="139" t="s">
        <v>311</v>
      </c>
      <c r="B28" s="217">
        <v>1275.22</v>
      </c>
      <c r="C28" s="217">
        <v>1190.3399999999999</v>
      </c>
      <c r="D28" s="217">
        <v>1230.4000000000001</v>
      </c>
      <c r="E28" s="217">
        <v>1124.7</v>
      </c>
      <c r="F28" s="217">
        <v>1311.28</v>
      </c>
      <c r="G28" s="217">
        <v>1000.24</v>
      </c>
      <c r="H28" s="217">
        <v>1099.56</v>
      </c>
      <c r="I28" s="217">
        <v>1191.8800000000001</v>
      </c>
      <c r="J28" s="217">
        <v>1263.23</v>
      </c>
      <c r="K28" s="217">
        <v>1431.28</v>
      </c>
      <c r="L28" s="217">
        <v>1389.92</v>
      </c>
      <c r="M28" s="217">
        <v>0</v>
      </c>
      <c r="N28" s="218">
        <f t="shared" si="0"/>
        <v>13508.05</v>
      </c>
      <c r="O28" s="219"/>
    </row>
    <row r="29" spans="1:15" ht="13.8" x14ac:dyDescent="0.25">
      <c r="A29" s="139" t="s">
        <v>243</v>
      </c>
      <c r="B29" s="217">
        <v>8011.01</v>
      </c>
      <c r="C29" s="217">
        <v>8899.7000000000007</v>
      </c>
      <c r="D29" s="217">
        <v>8442.64</v>
      </c>
      <c r="E29" s="217">
        <v>6567.29</v>
      </c>
      <c r="F29" s="217">
        <v>8328.09</v>
      </c>
      <c r="G29" s="217">
        <v>5773.28</v>
      </c>
      <c r="H29" s="217">
        <v>8789.51</v>
      </c>
      <c r="I29" s="217">
        <v>6638.03</v>
      </c>
      <c r="J29" s="217">
        <v>5491.27</v>
      </c>
      <c r="K29" s="217">
        <v>4910.28</v>
      </c>
      <c r="L29" s="217">
        <v>5079.28</v>
      </c>
      <c r="M29" s="217">
        <v>1964</v>
      </c>
      <c r="N29" s="218">
        <f t="shared" si="0"/>
        <v>78894.37999999999</v>
      </c>
      <c r="O29" s="219"/>
    </row>
    <row r="30" spans="1:15" ht="13.8" x14ac:dyDescent="0.25">
      <c r="A30" s="139" t="s">
        <v>139</v>
      </c>
      <c r="B30" s="217">
        <v>0</v>
      </c>
      <c r="C30" s="217">
        <v>385.4</v>
      </c>
      <c r="D30" s="217">
        <v>0</v>
      </c>
      <c r="E30" s="217">
        <v>0</v>
      </c>
      <c r="F30" s="217">
        <v>0</v>
      </c>
      <c r="G30" s="217">
        <v>0</v>
      </c>
      <c r="H30" s="217">
        <v>0</v>
      </c>
      <c r="I30" s="217">
        <v>0</v>
      </c>
      <c r="J30" s="217">
        <v>0</v>
      </c>
      <c r="K30" s="217">
        <v>0</v>
      </c>
      <c r="L30" s="217">
        <v>0</v>
      </c>
      <c r="M30" s="217">
        <v>0</v>
      </c>
      <c r="N30" s="218">
        <f t="shared" si="0"/>
        <v>385.4</v>
      </c>
      <c r="O30" s="219"/>
    </row>
    <row r="31" spans="1:15" ht="13.8" x14ac:dyDescent="0.25">
      <c r="A31" s="139" t="s">
        <v>140</v>
      </c>
      <c r="B31" s="217">
        <v>1880.27</v>
      </c>
      <c r="C31" s="217">
        <v>45610.52</v>
      </c>
      <c r="D31" s="217">
        <v>1847.79</v>
      </c>
      <c r="E31" s="217">
        <v>2100.62</v>
      </c>
      <c r="F31" s="217">
        <v>1969.04</v>
      </c>
      <c r="G31" s="217">
        <v>1470.26</v>
      </c>
      <c r="H31" s="217">
        <v>1616.28</v>
      </c>
      <c r="I31" s="217">
        <v>2204.2199999999998</v>
      </c>
      <c r="J31" s="217">
        <v>1856.91</v>
      </c>
      <c r="K31" s="217">
        <v>2130.4699999999998</v>
      </c>
      <c r="L31" s="217">
        <v>2043.09</v>
      </c>
      <c r="M31" s="217">
        <v>0</v>
      </c>
      <c r="N31" s="218">
        <f t="shared" si="0"/>
        <v>64729.47</v>
      </c>
      <c r="O31" s="219"/>
    </row>
    <row r="32" spans="1:15" ht="13.8" x14ac:dyDescent="0.25">
      <c r="A32" s="139" t="s">
        <v>141</v>
      </c>
      <c r="B32" s="217">
        <v>229.48</v>
      </c>
      <c r="C32" s="217">
        <v>214.18</v>
      </c>
      <c r="D32" s="217">
        <v>221.41</v>
      </c>
      <c r="E32" s="217">
        <v>202.37</v>
      </c>
      <c r="F32" s="217">
        <v>235.96</v>
      </c>
      <c r="G32" s="217">
        <v>179.97</v>
      </c>
      <c r="H32" s="217">
        <v>197.86</v>
      </c>
      <c r="I32" s="217">
        <v>214.46</v>
      </c>
      <c r="J32" s="217">
        <v>227.35</v>
      </c>
      <c r="K32" s="217">
        <v>257.56</v>
      </c>
      <c r="L32" s="217">
        <v>250.11</v>
      </c>
      <c r="M32" s="217">
        <v>0</v>
      </c>
      <c r="N32" s="218">
        <f t="shared" si="0"/>
        <v>2430.71</v>
      </c>
      <c r="O32" s="219"/>
    </row>
    <row r="33" spans="1:15" ht="13.8" x14ac:dyDescent="0.25">
      <c r="A33" s="139" t="s">
        <v>142</v>
      </c>
      <c r="B33" s="217">
        <v>321.35000000000002</v>
      </c>
      <c r="C33" s="217">
        <v>5011.74</v>
      </c>
      <c r="D33" s="217">
        <v>310.06</v>
      </c>
      <c r="E33" s="217">
        <v>283.42</v>
      </c>
      <c r="F33" s="217">
        <v>330.44</v>
      </c>
      <c r="G33" s="217">
        <v>252.06</v>
      </c>
      <c r="H33" s="217">
        <v>277.08999999999997</v>
      </c>
      <c r="I33" s="217">
        <v>300.35000000000002</v>
      </c>
      <c r="J33" s="217">
        <v>318.33</v>
      </c>
      <c r="K33" s="217">
        <v>360.68</v>
      </c>
      <c r="L33" s="217">
        <v>350.26</v>
      </c>
      <c r="M33" s="217">
        <v>0</v>
      </c>
      <c r="N33" s="218">
        <f t="shared" si="0"/>
        <v>8115.7800000000016</v>
      </c>
      <c r="O33" s="219"/>
    </row>
    <row r="34" spans="1:15" ht="13.8" x14ac:dyDescent="0.25">
      <c r="A34" s="139" t="s">
        <v>312</v>
      </c>
      <c r="B34" s="217">
        <v>1998.62</v>
      </c>
      <c r="C34" s="217">
        <v>1572.45</v>
      </c>
      <c r="D34" s="217">
        <v>1568.41</v>
      </c>
      <c r="E34" s="217">
        <v>1169.23</v>
      </c>
      <c r="F34" s="217">
        <v>3161.24</v>
      </c>
      <c r="G34" s="217">
        <v>910.85</v>
      </c>
      <c r="H34" s="217">
        <v>1074.3499999999999</v>
      </c>
      <c r="I34" s="217">
        <v>871.42</v>
      </c>
      <c r="J34" s="217">
        <v>1995.12</v>
      </c>
      <c r="K34" s="217">
        <v>1856.64</v>
      </c>
      <c r="L34" s="217">
        <v>2071.75</v>
      </c>
      <c r="M34" s="217">
        <v>0</v>
      </c>
      <c r="N34" s="218">
        <f t="shared" si="0"/>
        <v>18250.079999999998</v>
      </c>
      <c r="O34" s="219"/>
    </row>
    <row r="35" spans="1:15" ht="13.8" x14ac:dyDescent="0.25">
      <c r="A35" s="139" t="s">
        <v>245</v>
      </c>
      <c r="B35" s="217">
        <v>170.15</v>
      </c>
      <c r="C35" s="217">
        <v>776.27</v>
      </c>
      <c r="D35" s="217">
        <v>2.25</v>
      </c>
      <c r="E35" s="217">
        <v>378.92</v>
      </c>
      <c r="F35" s="217">
        <v>0</v>
      </c>
      <c r="G35" s="217">
        <v>161.19999999999999</v>
      </c>
      <c r="H35" s="217">
        <v>101.6</v>
      </c>
      <c r="I35" s="217">
        <v>0</v>
      </c>
      <c r="J35" s="217">
        <v>0</v>
      </c>
      <c r="K35" s="217">
        <v>0</v>
      </c>
      <c r="L35" s="217">
        <v>0</v>
      </c>
      <c r="M35" s="217">
        <v>360</v>
      </c>
      <c r="N35" s="218">
        <f t="shared" si="0"/>
        <v>1950.3899999999999</v>
      </c>
      <c r="O35" s="219"/>
    </row>
    <row r="36" spans="1:15" ht="13.8" x14ac:dyDescent="0.25">
      <c r="A36" s="139" t="s">
        <v>313</v>
      </c>
      <c r="B36" s="217">
        <v>71</v>
      </c>
      <c r="C36" s="217">
        <v>160.07</v>
      </c>
      <c r="D36" s="217">
        <v>284.44</v>
      </c>
      <c r="E36" s="217">
        <v>54</v>
      </c>
      <c r="F36" s="217">
        <v>369.96</v>
      </c>
      <c r="G36" s="217">
        <v>204.8</v>
      </c>
      <c r="H36" s="217">
        <v>176.2</v>
      </c>
      <c r="I36" s="217">
        <v>0</v>
      </c>
      <c r="J36" s="217">
        <v>314.5</v>
      </c>
      <c r="K36" s="217">
        <v>209</v>
      </c>
      <c r="L36" s="217">
        <v>243.8</v>
      </c>
      <c r="M36" s="217">
        <v>0</v>
      </c>
      <c r="N36" s="218">
        <f t="shared" si="0"/>
        <v>2087.77</v>
      </c>
      <c r="O36" s="219"/>
    </row>
    <row r="37" spans="1:15" ht="13.8" x14ac:dyDescent="0.25">
      <c r="A37" s="139" t="s">
        <v>238</v>
      </c>
      <c r="B37" s="217">
        <v>1888.74</v>
      </c>
      <c r="C37" s="217">
        <v>1597.91</v>
      </c>
      <c r="D37" s="217">
        <v>1616.34</v>
      </c>
      <c r="E37" s="217">
        <v>2042.63</v>
      </c>
      <c r="F37" s="217">
        <v>1693.64</v>
      </c>
      <c r="G37" s="217">
        <v>1951.58</v>
      </c>
      <c r="H37" s="217">
        <v>1700.37</v>
      </c>
      <c r="I37" s="217">
        <v>2253.84</v>
      </c>
      <c r="J37" s="217">
        <v>2512.31</v>
      </c>
      <c r="K37" s="217">
        <v>2178.35</v>
      </c>
      <c r="L37" s="217">
        <v>2360.4899999999998</v>
      </c>
      <c r="M37" s="217">
        <v>1941.57</v>
      </c>
      <c r="N37" s="218">
        <f t="shared" si="0"/>
        <v>23737.769999999997</v>
      </c>
      <c r="O37" s="219"/>
    </row>
    <row r="38" spans="1:15" ht="13.8" x14ac:dyDescent="0.25">
      <c r="A38" s="139" t="s">
        <v>143</v>
      </c>
      <c r="B38" s="217">
        <v>2232.8200000000002</v>
      </c>
      <c r="C38" s="217">
        <v>2139.6999999999998</v>
      </c>
      <c r="D38" s="217">
        <v>2921.67</v>
      </c>
      <c r="E38" s="217">
        <v>299.95999999999998</v>
      </c>
      <c r="F38" s="217">
        <v>1332.53</v>
      </c>
      <c r="G38" s="217">
        <v>4382.7</v>
      </c>
      <c r="H38" s="217">
        <v>237</v>
      </c>
      <c r="I38" s="217">
        <v>2180.04</v>
      </c>
      <c r="J38" s="217">
        <v>779.22</v>
      </c>
      <c r="K38" s="217">
        <v>223.57</v>
      </c>
      <c r="L38" s="217">
        <v>2281.52</v>
      </c>
      <c r="M38" s="217">
        <v>0</v>
      </c>
      <c r="N38" s="218">
        <f t="shared" si="0"/>
        <v>19010.730000000003</v>
      </c>
      <c r="O38" s="219"/>
    </row>
    <row r="39" spans="1:15" ht="13.8" x14ac:dyDescent="0.25">
      <c r="A39" s="139" t="s">
        <v>144</v>
      </c>
      <c r="B39" s="217">
        <v>0</v>
      </c>
      <c r="C39" s="217">
        <v>0</v>
      </c>
      <c r="D39" s="217">
        <v>0</v>
      </c>
      <c r="E39" s="217">
        <v>0</v>
      </c>
      <c r="F39" s="217">
        <v>0</v>
      </c>
      <c r="G39" s="217">
        <v>0</v>
      </c>
      <c r="H39" s="217">
        <v>300</v>
      </c>
      <c r="I39" s="217">
        <v>0</v>
      </c>
      <c r="J39" s="217">
        <v>0</v>
      </c>
      <c r="K39" s="217">
        <v>0</v>
      </c>
      <c r="L39" s="217">
        <v>0</v>
      </c>
      <c r="M39" s="217">
        <v>0</v>
      </c>
      <c r="N39" s="218">
        <f t="shared" si="0"/>
        <v>300</v>
      </c>
      <c r="O39" s="219"/>
    </row>
    <row r="40" spans="1:15" ht="13.8" x14ac:dyDescent="0.25">
      <c r="A40" s="139" t="s">
        <v>314</v>
      </c>
      <c r="B40" s="217">
        <v>400</v>
      </c>
      <c r="C40" s="217">
        <v>400</v>
      </c>
      <c r="D40" s="217">
        <v>374</v>
      </c>
      <c r="E40" s="217">
        <v>460</v>
      </c>
      <c r="F40" s="217">
        <v>0</v>
      </c>
      <c r="G40" s="217">
        <v>0</v>
      </c>
      <c r="H40" s="217">
        <v>139</v>
      </c>
      <c r="I40" s="217">
        <v>0</v>
      </c>
      <c r="J40" s="217">
        <v>0</v>
      </c>
      <c r="K40" s="217">
        <v>925.75</v>
      </c>
      <c r="L40" s="217">
        <v>895.38</v>
      </c>
      <c r="M40" s="217">
        <v>0</v>
      </c>
      <c r="N40" s="218">
        <f t="shared" si="0"/>
        <v>3594.13</v>
      </c>
      <c r="O40" s="219"/>
    </row>
    <row r="41" spans="1:15" ht="13.8" x14ac:dyDescent="0.25">
      <c r="A41" s="139" t="s">
        <v>145</v>
      </c>
      <c r="B41" s="217">
        <v>205.3</v>
      </c>
      <c r="C41" s="217">
        <v>0</v>
      </c>
      <c r="D41" s="217">
        <v>605</v>
      </c>
      <c r="E41" s="217">
        <v>0</v>
      </c>
      <c r="F41" s="217">
        <v>0</v>
      </c>
      <c r="G41" s="217">
        <v>0</v>
      </c>
      <c r="H41" s="217">
        <v>19.95</v>
      </c>
      <c r="I41" s="217">
        <v>0</v>
      </c>
      <c r="J41" s="217">
        <v>0</v>
      </c>
      <c r="K41" s="217">
        <v>0</v>
      </c>
      <c r="L41" s="217">
        <v>0</v>
      </c>
      <c r="M41" s="217">
        <v>0</v>
      </c>
      <c r="N41" s="218">
        <f t="shared" si="0"/>
        <v>830.25</v>
      </c>
      <c r="O41" s="219"/>
    </row>
    <row r="42" spans="1:15" ht="13.8" x14ac:dyDescent="0.25">
      <c r="A42" s="139" t="s">
        <v>146</v>
      </c>
      <c r="B42" s="217">
        <v>15</v>
      </c>
      <c r="C42" s="217">
        <v>25.2</v>
      </c>
      <c r="D42" s="217">
        <v>10</v>
      </c>
      <c r="E42" s="217">
        <v>56</v>
      </c>
      <c r="F42" s="217">
        <v>337.6</v>
      </c>
      <c r="G42" s="217">
        <v>838.35</v>
      </c>
      <c r="H42" s="217">
        <v>72.75</v>
      </c>
      <c r="I42" s="217">
        <v>161.5</v>
      </c>
      <c r="J42" s="217">
        <v>590.75</v>
      </c>
      <c r="K42" s="217">
        <v>245.25</v>
      </c>
      <c r="L42" s="217">
        <v>20.75</v>
      </c>
      <c r="M42" s="217">
        <v>0</v>
      </c>
      <c r="N42" s="218">
        <f t="shared" si="0"/>
        <v>2373.15</v>
      </c>
      <c r="O42" s="219"/>
    </row>
    <row r="43" spans="1:15" ht="13.8" x14ac:dyDescent="0.25">
      <c r="A43" s="139" t="s">
        <v>147</v>
      </c>
      <c r="B43" s="217">
        <v>0</v>
      </c>
      <c r="C43" s="217">
        <v>0</v>
      </c>
      <c r="D43" s="217">
        <v>0</v>
      </c>
      <c r="E43" s="217">
        <v>0</v>
      </c>
      <c r="F43" s="217">
        <v>11.8</v>
      </c>
      <c r="G43" s="217">
        <v>0</v>
      </c>
      <c r="H43" s="217">
        <v>0</v>
      </c>
      <c r="I43" s="217">
        <v>0</v>
      </c>
      <c r="J43" s="217">
        <v>0</v>
      </c>
      <c r="K43" s="217">
        <v>27.5</v>
      </c>
      <c r="L43" s="217">
        <v>0</v>
      </c>
      <c r="M43" s="217">
        <v>0</v>
      </c>
      <c r="N43" s="218">
        <f t="shared" si="0"/>
        <v>39.299999999999997</v>
      </c>
      <c r="O43" s="219"/>
    </row>
    <row r="44" spans="1:15" ht="13.8" x14ac:dyDescent="0.25">
      <c r="A44" s="139" t="s">
        <v>315</v>
      </c>
      <c r="B44" s="217">
        <v>0</v>
      </c>
      <c r="C44" s="217">
        <v>305.55</v>
      </c>
      <c r="D44" s="217">
        <v>0</v>
      </c>
      <c r="E44" s="217">
        <v>38.85</v>
      </c>
      <c r="F44" s="217">
        <v>120</v>
      </c>
      <c r="G44" s="217">
        <v>0</v>
      </c>
      <c r="H44" s="217">
        <v>71</v>
      </c>
      <c r="I44" s="217">
        <v>0</v>
      </c>
      <c r="J44" s="217">
        <v>37.200000000000003</v>
      </c>
      <c r="K44" s="217">
        <v>0</v>
      </c>
      <c r="L44" s="217">
        <v>0</v>
      </c>
      <c r="M44" s="217">
        <v>0</v>
      </c>
      <c r="N44" s="218">
        <f t="shared" si="0"/>
        <v>572.60000000000014</v>
      </c>
      <c r="O44" s="219"/>
    </row>
    <row r="45" spans="1:15" ht="13.8" x14ac:dyDescent="0.25">
      <c r="A45" s="139" t="s">
        <v>148</v>
      </c>
      <c r="B45" s="217">
        <v>-173.61</v>
      </c>
      <c r="C45" s="217">
        <v>1650.45</v>
      </c>
      <c r="D45" s="217">
        <v>4323.0600000000004</v>
      </c>
      <c r="E45" s="217">
        <v>2048.19</v>
      </c>
      <c r="F45" s="217">
        <v>3428.46</v>
      </c>
      <c r="G45" s="217">
        <v>3751.78</v>
      </c>
      <c r="H45" s="217">
        <v>3176.39</v>
      </c>
      <c r="I45" s="217">
        <v>3176.37</v>
      </c>
      <c r="J45" s="217">
        <v>3239.37</v>
      </c>
      <c r="K45" s="217">
        <v>2841.27</v>
      </c>
      <c r="L45" s="217">
        <v>2786.08</v>
      </c>
      <c r="M45" s="217">
        <v>0</v>
      </c>
      <c r="N45" s="218">
        <f t="shared" si="0"/>
        <v>30247.809999999998</v>
      </c>
      <c r="O45" s="219"/>
    </row>
    <row r="46" spans="1:15" ht="13.8" x14ac:dyDescent="0.25">
      <c r="A46" s="139" t="s">
        <v>253</v>
      </c>
      <c r="B46" s="217">
        <v>5968.94</v>
      </c>
      <c r="C46" s="217">
        <v>5730.31</v>
      </c>
      <c r="D46" s="217">
        <v>6112.93</v>
      </c>
      <c r="E46" s="217">
        <v>6563.21</v>
      </c>
      <c r="F46" s="217">
        <v>6354.12</v>
      </c>
      <c r="G46" s="217">
        <v>10613.45</v>
      </c>
      <c r="H46" s="217">
        <v>4212.2299999999996</v>
      </c>
      <c r="I46" s="217">
        <v>5617.86</v>
      </c>
      <c r="J46" s="217">
        <v>6425.73</v>
      </c>
      <c r="K46" s="217">
        <v>6652.68</v>
      </c>
      <c r="L46" s="217">
        <v>7772.31</v>
      </c>
      <c r="M46" s="217">
        <v>0</v>
      </c>
      <c r="N46" s="218">
        <f t="shared" si="0"/>
        <v>72023.77</v>
      </c>
      <c r="O46" s="219"/>
    </row>
    <row r="47" spans="1:15" ht="13.8" x14ac:dyDescent="0.25">
      <c r="A47" s="139" t="s">
        <v>68</v>
      </c>
      <c r="B47" s="217">
        <v>791.32</v>
      </c>
      <c r="C47" s="217">
        <v>5097.82</v>
      </c>
      <c r="D47" s="217">
        <v>1865</v>
      </c>
      <c r="E47" s="217">
        <v>4050</v>
      </c>
      <c r="F47" s="217">
        <v>2541.34</v>
      </c>
      <c r="G47" s="217">
        <v>3208.05</v>
      </c>
      <c r="H47" s="217">
        <v>7862.81</v>
      </c>
      <c r="I47" s="217">
        <v>6038.42</v>
      </c>
      <c r="J47" s="217">
        <v>6707.96</v>
      </c>
      <c r="K47" s="217">
        <v>6478.65</v>
      </c>
      <c r="L47" s="217">
        <v>4696.45</v>
      </c>
      <c r="M47" s="217">
        <v>1325</v>
      </c>
      <c r="N47" s="218">
        <f t="shared" si="0"/>
        <v>50662.82</v>
      </c>
      <c r="O47" s="219"/>
    </row>
    <row r="48" spans="1:15" ht="13.8" x14ac:dyDescent="0.25">
      <c r="A48" s="139" t="s">
        <v>241</v>
      </c>
      <c r="B48" s="217">
        <v>0</v>
      </c>
      <c r="C48" s="217">
        <v>0</v>
      </c>
      <c r="D48" s="217">
        <v>0</v>
      </c>
      <c r="E48" s="217">
        <v>0</v>
      </c>
      <c r="F48" s="217">
        <v>0</v>
      </c>
      <c r="G48" s="217">
        <v>0</v>
      </c>
      <c r="H48" s="217">
        <v>0</v>
      </c>
      <c r="I48" s="217">
        <v>0</v>
      </c>
      <c r="J48" s="217">
        <v>54.9</v>
      </c>
      <c r="K48" s="217">
        <v>560</v>
      </c>
      <c r="L48" s="217">
        <v>0</v>
      </c>
      <c r="M48" s="217">
        <v>0</v>
      </c>
      <c r="N48" s="218">
        <f t="shared" si="0"/>
        <v>614.9</v>
      </c>
      <c r="O48" s="44"/>
    </row>
    <row r="49" spans="1:15" ht="13.8" x14ac:dyDescent="0.25">
      <c r="A49" s="139" t="s">
        <v>248</v>
      </c>
      <c r="B49" s="217">
        <v>55</v>
      </c>
      <c r="C49" s="217">
        <v>89.88</v>
      </c>
      <c r="D49" s="217">
        <v>152.51</v>
      </c>
      <c r="E49" s="217">
        <v>0</v>
      </c>
      <c r="F49" s="217">
        <v>744.25</v>
      </c>
      <c r="G49" s="217">
        <v>0</v>
      </c>
      <c r="H49" s="217">
        <v>0</v>
      </c>
      <c r="I49" s="217">
        <v>0</v>
      </c>
      <c r="J49" s="217">
        <v>120</v>
      </c>
      <c r="K49" s="217">
        <v>0</v>
      </c>
      <c r="L49" s="217">
        <v>3.3</v>
      </c>
      <c r="M49" s="217">
        <v>0</v>
      </c>
      <c r="N49" s="218">
        <f t="shared" si="0"/>
        <v>1164.9399999999998</v>
      </c>
      <c r="O49" s="44"/>
    </row>
    <row r="50" spans="1:15" ht="13.8" x14ac:dyDescent="0.25">
      <c r="A50" s="139" t="s">
        <v>316</v>
      </c>
      <c r="B50" s="217">
        <v>109.85</v>
      </c>
      <c r="C50" s="217">
        <v>94.89</v>
      </c>
      <c r="D50" s="217">
        <v>122.6</v>
      </c>
      <c r="E50" s="217">
        <v>18.75</v>
      </c>
      <c r="F50" s="217">
        <v>131.72</v>
      </c>
      <c r="G50" s="217">
        <v>52</v>
      </c>
      <c r="H50" s="217">
        <v>114.72</v>
      </c>
      <c r="I50" s="217">
        <v>229.58</v>
      </c>
      <c r="J50" s="217">
        <v>122.3</v>
      </c>
      <c r="K50" s="217">
        <v>178.49</v>
      </c>
      <c r="L50" s="217">
        <v>196.54</v>
      </c>
      <c r="M50" s="217">
        <v>0</v>
      </c>
      <c r="N50" s="218">
        <f t="shared" si="0"/>
        <v>1371.44</v>
      </c>
      <c r="O50" s="44"/>
    </row>
    <row r="51" spans="1:15" ht="13.8" x14ac:dyDescent="0.25">
      <c r="A51" s="139" t="s">
        <v>317</v>
      </c>
      <c r="B51" s="217">
        <v>0</v>
      </c>
      <c r="C51" s="217">
        <v>650</v>
      </c>
      <c r="D51" s="217">
        <v>0</v>
      </c>
      <c r="E51" s="217">
        <v>400</v>
      </c>
      <c r="F51" s="217">
        <v>0</v>
      </c>
      <c r="G51" s="217">
        <v>400</v>
      </c>
      <c r="H51" s="217">
        <v>0</v>
      </c>
      <c r="I51" s="217">
        <v>0</v>
      </c>
      <c r="J51" s="217">
        <v>0</v>
      </c>
      <c r="K51" s="217">
        <v>1600</v>
      </c>
      <c r="L51" s="217">
        <v>675</v>
      </c>
      <c r="M51" s="217">
        <v>0</v>
      </c>
      <c r="N51" s="218">
        <f t="shared" si="0"/>
        <v>3725</v>
      </c>
      <c r="O51" s="44"/>
    </row>
    <row r="52" spans="1:15" ht="13.8" x14ac:dyDescent="0.25">
      <c r="A52" s="139" t="s">
        <v>250</v>
      </c>
      <c r="B52" s="217">
        <v>5</v>
      </c>
      <c r="C52" s="217">
        <v>478.89</v>
      </c>
      <c r="D52" s="217">
        <v>1401.29</v>
      </c>
      <c r="E52" s="217">
        <v>780.63</v>
      </c>
      <c r="F52" s="217">
        <v>1086.8800000000001</v>
      </c>
      <c r="G52" s="217">
        <v>1704.99</v>
      </c>
      <c r="H52" s="217">
        <v>633.79</v>
      </c>
      <c r="I52" s="217">
        <v>1018.46</v>
      </c>
      <c r="J52" s="217">
        <v>550.52</v>
      </c>
      <c r="K52" s="217">
        <v>2146.9299999999998</v>
      </c>
      <c r="L52" s="217">
        <v>265</v>
      </c>
      <c r="M52" s="217">
        <v>225</v>
      </c>
      <c r="N52" s="218">
        <f t="shared" si="0"/>
        <v>10297.380000000001</v>
      </c>
      <c r="O52" s="219"/>
    </row>
    <row r="53" spans="1:15" ht="13.8" x14ac:dyDescent="0.25">
      <c r="A53" s="139" t="s">
        <v>249</v>
      </c>
      <c r="B53" s="217">
        <v>64.94</v>
      </c>
      <c r="C53" s="217">
        <v>0</v>
      </c>
      <c r="D53" s="217">
        <v>450</v>
      </c>
      <c r="E53" s="217">
        <v>-136.31</v>
      </c>
      <c r="F53" s="217">
        <v>332.95</v>
      </c>
      <c r="G53" s="217">
        <v>94.99</v>
      </c>
      <c r="H53" s="217">
        <v>0</v>
      </c>
      <c r="I53" s="217">
        <v>967</v>
      </c>
      <c r="J53" s="217">
        <v>50</v>
      </c>
      <c r="K53" s="217">
        <v>283.72000000000003</v>
      </c>
      <c r="L53" s="217">
        <v>0</v>
      </c>
      <c r="M53" s="217">
        <v>0</v>
      </c>
      <c r="N53" s="218">
        <f t="shared" si="0"/>
        <v>2107.29</v>
      </c>
      <c r="O53" s="219"/>
    </row>
    <row r="54" spans="1:15" ht="13.8" x14ac:dyDescent="0.25">
      <c r="A54" s="139" t="s">
        <v>149</v>
      </c>
      <c r="B54" s="217">
        <v>373.51</v>
      </c>
      <c r="C54" s="217">
        <v>117.35</v>
      </c>
      <c r="D54" s="217">
        <v>186.4</v>
      </c>
      <c r="E54" s="217">
        <v>272.5</v>
      </c>
      <c r="F54" s="217">
        <v>537.91999999999996</v>
      </c>
      <c r="G54" s="217">
        <v>81.67</v>
      </c>
      <c r="H54" s="217">
        <v>506.81</v>
      </c>
      <c r="I54" s="217">
        <v>245.64</v>
      </c>
      <c r="J54" s="217">
        <v>614.5</v>
      </c>
      <c r="K54" s="217">
        <v>390.41</v>
      </c>
      <c r="L54" s="217">
        <v>290.85000000000002</v>
      </c>
      <c r="M54" s="217">
        <v>0</v>
      </c>
      <c r="N54" s="218">
        <f t="shared" si="0"/>
        <v>3617.5599999999995</v>
      </c>
      <c r="O54" s="219"/>
    </row>
    <row r="55" spans="1:15" ht="13.8" x14ac:dyDescent="0.25">
      <c r="A55" s="139" t="s">
        <v>150</v>
      </c>
      <c r="B55" s="217">
        <v>749.87</v>
      </c>
      <c r="C55" s="217">
        <v>144.28</v>
      </c>
      <c r="D55" s="217">
        <v>606.05999999999995</v>
      </c>
      <c r="E55" s="217">
        <v>268.64999999999998</v>
      </c>
      <c r="F55" s="217">
        <v>1762.06</v>
      </c>
      <c r="G55" s="217">
        <v>297.91000000000003</v>
      </c>
      <c r="H55" s="217">
        <v>0</v>
      </c>
      <c r="I55" s="217">
        <v>386.91</v>
      </c>
      <c r="J55" s="217">
        <v>90.57</v>
      </c>
      <c r="K55" s="217">
        <v>404.25</v>
      </c>
      <c r="L55" s="217">
        <v>0</v>
      </c>
      <c r="M55" s="217">
        <v>0</v>
      </c>
      <c r="N55" s="218">
        <f t="shared" si="0"/>
        <v>4710.5599999999995</v>
      </c>
      <c r="O55" s="219"/>
    </row>
    <row r="56" spans="1:15" ht="13.8" x14ac:dyDescent="0.25">
      <c r="A56" s="139" t="s">
        <v>246</v>
      </c>
      <c r="B56" s="217">
        <v>0</v>
      </c>
      <c r="C56" s="217">
        <v>200</v>
      </c>
      <c r="D56" s="217">
        <v>0</v>
      </c>
      <c r="E56" s="217">
        <v>0</v>
      </c>
      <c r="F56" s="217">
        <v>0</v>
      </c>
      <c r="G56" s="217">
        <v>0</v>
      </c>
      <c r="H56" s="217">
        <v>445</v>
      </c>
      <c r="I56" s="217">
        <v>0</v>
      </c>
      <c r="J56" s="217">
        <v>0</v>
      </c>
      <c r="K56" s="217">
        <v>0</v>
      </c>
      <c r="L56" s="217">
        <v>0</v>
      </c>
      <c r="M56" s="217">
        <v>0</v>
      </c>
      <c r="N56" s="218">
        <f t="shared" si="0"/>
        <v>645</v>
      </c>
      <c r="O56" s="219"/>
    </row>
    <row r="57" spans="1:15" ht="13.8" x14ac:dyDescent="0.25">
      <c r="A57" s="139" t="s">
        <v>240</v>
      </c>
      <c r="B57" s="217">
        <v>0</v>
      </c>
      <c r="C57" s="217">
        <v>0</v>
      </c>
      <c r="D57" s="217">
        <v>0</v>
      </c>
      <c r="E57" s="217">
        <v>2691.6</v>
      </c>
      <c r="F57" s="217">
        <v>0</v>
      </c>
      <c r="G57" s="217">
        <v>0</v>
      </c>
      <c r="H57" s="217">
        <v>0</v>
      </c>
      <c r="I57" s="217">
        <v>1296.8800000000001</v>
      </c>
      <c r="J57" s="217">
        <v>1177.5</v>
      </c>
      <c r="K57" s="217">
        <v>1766.25</v>
      </c>
      <c r="L57" s="217">
        <v>0</v>
      </c>
      <c r="M57" s="217">
        <v>0</v>
      </c>
      <c r="N57" s="218">
        <f t="shared" si="0"/>
        <v>6932.23</v>
      </c>
      <c r="O57" s="219"/>
    </row>
    <row r="58" spans="1:15" ht="13.8" x14ac:dyDescent="0.25">
      <c r="A58" s="139" t="s">
        <v>318</v>
      </c>
      <c r="B58" s="217">
        <v>0</v>
      </c>
      <c r="C58" s="217">
        <v>1447.7</v>
      </c>
      <c r="D58" s="217">
        <v>1390.18</v>
      </c>
      <c r="E58" s="217">
        <v>1721.27</v>
      </c>
      <c r="F58" s="217">
        <v>1827.59</v>
      </c>
      <c r="G58" s="217">
        <v>1696.04</v>
      </c>
      <c r="H58" s="217">
        <v>1534.71</v>
      </c>
      <c r="I58" s="217">
        <v>1755.32</v>
      </c>
      <c r="J58" s="217">
        <v>1849.33</v>
      </c>
      <c r="K58" s="217">
        <v>1659.27</v>
      </c>
      <c r="L58" s="217">
        <v>1635.92</v>
      </c>
      <c r="M58" s="217">
        <v>960.21</v>
      </c>
      <c r="N58" s="218">
        <f t="shared" si="0"/>
        <v>17477.54</v>
      </c>
      <c r="O58" s="219"/>
    </row>
    <row r="59" spans="1:15" ht="13.8" x14ac:dyDescent="0.25">
      <c r="A59" s="139" t="s">
        <v>319</v>
      </c>
      <c r="B59" s="217">
        <v>350.35</v>
      </c>
      <c r="C59" s="217">
        <v>45.78</v>
      </c>
      <c r="D59" s="217">
        <v>14.36</v>
      </c>
      <c r="E59" s="217">
        <v>22.17</v>
      </c>
      <c r="F59" s="217">
        <v>25.82</v>
      </c>
      <c r="G59" s="217">
        <v>25.82</v>
      </c>
      <c r="H59" s="217">
        <v>24.4</v>
      </c>
      <c r="I59" s="217">
        <v>25.75</v>
      </c>
      <c r="J59" s="217">
        <v>25.82</v>
      </c>
      <c r="K59" s="217">
        <v>43.83</v>
      </c>
      <c r="L59" s="217">
        <v>25.11</v>
      </c>
      <c r="M59" s="217">
        <v>0</v>
      </c>
      <c r="N59" s="218">
        <f t="shared" si="0"/>
        <v>629.21000000000015</v>
      </c>
      <c r="O59" s="219"/>
    </row>
    <row r="60" spans="1:15" ht="13.8" x14ac:dyDescent="0.25">
      <c r="A60" s="139" t="s">
        <v>242</v>
      </c>
      <c r="B60" s="217">
        <v>915.42</v>
      </c>
      <c r="C60" s="217">
        <v>835.4</v>
      </c>
      <c r="D60" s="217">
        <v>1037.58</v>
      </c>
      <c r="E60" s="217">
        <v>1573.53</v>
      </c>
      <c r="F60" s="217">
        <v>1396.06</v>
      </c>
      <c r="G60" s="217">
        <v>1231.5999999999999</v>
      </c>
      <c r="H60" s="217">
        <v>1133.74</v>
      </c>
      <c r="I60" s="217">
        <v>1156.43</v>
      </c>
      <c r="J60" s="217">
        <v>1426.45</v>
      </c>
      <c r="K60" s="217">
        <v>1555.66</v>
      </c>
      <c r="L60" s="217">
        <v>1215.8</v>
      </c>
      <c r="M60" s="217">
        <v>0</v>
      </c>
      <c r="N60" s="218">
        <f t="shared" si="0"/>
        <v>13477.67</v>
      </c>
      <c r="O60" s="219"/>
    </row>
    <row r="61" spans="1:15" ht="13.8" x14ac:dyDescent="0.25">
      <c r="A61" s="139" t="s">
        <v>151</v>
      </c>
      <c r="B61" s="217">
        <v>0</v>
      </c>
      <c r="C61" s="217">
        <v>0</v>
      </c>
      <c r="D61" s="217">
        <v>0</v>
      </c>
      <c r="E61" s="217">
        <v>0</v>
      </c>
      <c r="F61" s="217">
        <v>0</v>
      </c>
      <c r="G61" s="217">
        <v>0</v>
      </c>
      <c r="H61" s="217">
        <v>458</v>
      </c>
      <c r="I61" s="217">
        <v>0</v>
      </c>
      <c r="J61" s="217">
        <v>267.5</v>
      </c>
      <c r="K61" s="217">
        <v>0</v>
      </c>
      <c r="L61" s="217">
        <v>0</v>
      </c>
      <c r="M61" s="217">
        <v>0</v>
      </c>
      <c r="N61" s="218">
        <f t="shared" si="0"/>
        <v>725.5</v>
      </c>
      <c r="O61" s="219"/>
    </row>
    <row r="62" spans="1:15" ht="13.8" x14ac:dyDescent="0.25">
      <c r="A62" s="139" t="s">
        <v>152</v>
      </c>
      <c r="B62" s="217">
        <v>329</v>
      </c>
      <c r="C62" s="217">
        <v>234.5</v>
      </c>
      <c r="D62" s="217">
        <v>279.47000000000003</v>
      </c>
      <c r="E62" s="217">
        <v>279.47000000000003</v>
      </c>
      <c r="F62" s="217">
        <v>234.5</v>
      </c>
      <c r="G62" s="217">
        <v>234.5</v>
      </c>
      <c r="H62" s="217">
        <v>215.86</v>
      </c>
      <c r="I62" s="217">
        <v>284.13</v>
      </c>
      <c r="J62" s="217">
        <v>140</v>
      </c>
      <c r="K62" s="217">
        <v>279.47000000000003</v>
      </c>
      <c r="L62" s="217">
        <v>329</v>
      </c>
      <c r="M62" s="217">
        <v>0</v>
      </c>
      <c r="N62" s="218">
        <f t="shared" si="0"/>
        <v>2839.9000000000005</v>
      </c>
      <c r="O62" s="219"/>
    </row>
    <row r="63" spans="1:15" ht="13.8" x14ac:dyDescent="0.25">
      <c r="A63" s="139" t="s">
        <v>320</v>
      </c>
      <c r="B63" s="217">
        <v>22.74</v>
      </c>
      <c r="C63" s="217">
        <v>0</v>
      </c>
      <c r="D63" s="217">
        <v>22.61</v>
      </c>
      <c r="E63" s="217">
        <v>23.2</v>
      </c>
      <c r="F63" s="217">
        <v>0</v>
      </c>
      <c r="G63" s="217">
        <v>0</v>
      </c>
      <c r="H63" s="217">
        <v>0</v>
      </c>
      <c r="I63" s="217">
        <v>0</v>
      </c>
      <c r="J63" s="217">
        <v>0</v>
      </c>
      <c r="K63" s="217">
        <v>12686.75</v>
      </c>
      <c r="L63" s="217">
        <v>0</v>
      </c>
      <c r="M63" s="217">
        <v>0</v>
      </c>
      <c r="N63" s="218">
        <f t="shared" si="0"/>
        <v>12755.3</v>
      </c>
      <c r="O63" s="219"/>
    </row>
    <row r="64" spans="1:15" ht="13.8" x14ac:dyDescent="0.25">
      <c r="A64" s="139" t="s">
        <v>321</v>
      </c>
      <c r="B64" s="217">
        <v>0</v>
      </c>
      <c r="C64" s="217">
        <v>0</v>
      </c>
      <c r="D64" s="217">
        <v>25</v>
      </c>
      <c r="E64" s="217">
        <v>0</v>
      </c>
      <c r="F64" s="217">
        <v>0</v>
      </c>
      <c r="G64" s="217">
        <v>0</v>
      </c>
      <c r="H64" s="217">
        <v>65</v>
      </c>
      <c r="I64" s="217">
        <v>0</v>
      </c>
      <c r="J64" s="217">
        <v>0</v>
      </c>
      <c r="K64" s="217">
        <v>25</v>
      </c>
      <c r="L64" s="217">
        <v>35</v>
      </c>
      <c r="M64" s="217">
        <v>0</v>
      </c>
      <c r="N64" s="218">
        <f t="shared" si="0"/>
        <v>150</v>
      </c>
      <c r="O64" s="219"/>
    </row>
    <row r="65" spans="1:15" ht="13.8" x14ac:dyDescent="0.25">
      <c r="A65" s="139" t="s">
        <v>322</v>
      </c>
      <c r="B65" s="217">
        <v>427.34</v>
      </c>
      <c r="C65" s="217">
        <v>0</v>
      </c>
      <c r="D65" s="217">
        <v>60</v>
      </c>
      <c r="E65" s="217">
        <v>150</v>
      </c>
      <c r="F65" s="217">
        <v>25</v>
      </c>
      <c r="G65" s="217">
        <v>0</v>
      </c>
      <c r="H65" s="217">
        <v>0</v>
      </c>
      <c r="I65" s="217">
        <v>0</v>
      </c>
      <c r="J65" s="217">
        <v>0</v>
      </c>
      <c r="K65" s="217">
        <v>0</v>
      </c>
      <c r="L65" s="217">
        <v>0</v>
      </c>
      <c r="M65" s="217">
        <v>0</v>
      </c>
      <c r="N65" s="218">
        <f t="shared" si="0"/>
        <v>662.33999999999992</v>
      </c>
      <c r="O65" s="219"/>
    </row>
    <row r="66" spans="1:15" ht="13.8" x14ac:dyDescent="0.25">
      <c r="A66" s="139" t="s">
        <v>194</v>
      </c>
      <c r="B66" s="217">
        <v>0</v>
      </c>
      <c r="C66" s="217">
        <v>0</v>
      </c>
      <c r="D66" s="217">
        <v>0</v>
      </c>
      <c r="E66" s="217">
        <v>0</v>
      </c>
      <c r="F66" s="217">
        <v>0</v>
      </c>
      <c r="G66" s="217">
        <v>0</v>
      </c>
      <c r="H66" s="217">
        <v>0</v>
      </c>
      <c r="I66" s="217">
        <v>0</v>
      </c>
      <c r="J66" s="217">
        <v>0</v>
      </c>
      <c r="K66" s="217">
        <v>900</v>
      </c>
      <c r="L66" s="217">
        <v>0</v>
      </c>
      <c r="M66" s="217">
        <v>0</v>
      </c>
      <c r="N66" s="218">
        <f t="shared" si="0"/>
        <v>900</v>
      </c>
      <c r="O66" s="219"/>
    </row>
    <row r="67" spans="1:15" ht="13.8" x14ac:dyDescent="0.25">
      <c r="A67" s="139" t="s">
        <v>323</v>
      </c>
      <c r="B67" s="217">
        <v>1349.25</v>
      </c>
      <c r="C67" s="217">
        <v>0</v>
      </c>
      <c r="D67" s="217">
        <v>0</v>
      </c>
      <c r="E67" s="217">
        <v>0</v>
      </c>
      <c r="F67" s="217">
        <v>0</v>
      </c>
      <c r="G67" s="217">
        <v>0</v>
      </c>
      <c r="H67" s="217">
        <v>0</v>
      </c>
      <c r="I67" s="217">
        <v>0</v>
      </c>
      <c r="J67" s="217">
        <v>0</v>
      </c>
      <c r="K67" s="217">
        <v>550</v>
      </c>
      <c r="L67" s="217">
        <v>0</v>
      </c>
      <c r="M67" s="217">
        <v>0</v>
      </c>
      <c r="N67" s="218">
        <f t="shared" si="0"/>
        <v>1899.25</v>
      </c>
      <c r="O67" s="219"/>
    </row>
    <row r="68" spans="1:15" ht="13.8" x14ac:dyDescent="0.25">
      <c r="A68" s="139" t="s">
        <v>153</v>
      </c>
      <c r="B68" s="217">
        <v>294.18</v>
      </c>
      <c r="C68" s="217">
        <v>0</v>
      </c>
      <c r="D68" s="217">
        <v>350</v>
      </c>
      <c r="E68" s="217">
        <v>25</v>
      </c>
      <c r="F68" s="217">
        <v>0</v>
      </c>
      <c r="G68" s="217">
        <v>0</v>
      </c>
      <c r="H68" s="217">
        <v>0</v>
      </c>
      <c r="I68" s="217">
        <v>160</v>
      </c>
      <c r="J68" s="217">
        <v>0</v>
      </c>
      <c r="K68" s="217">
        <v>432.51</v>
      </c>
      <c r="L68" s="217">
        <v>190</v>
      </c>
      <c r="M68" s="217">
        <v>0</v>
      </c>
      <c r="N68" s="218">
        <f t="shared" ref="N68:N80" si="4">SUM(B68:M68)</f>
        <v>1451.69</v>
      </c>
      <c r="O68" s="219"/>
    </row>
    <row r="69" spans="1:15" ht="13.8" x14ac:dyDescent="0.25">
      <c r="A69" s="139" t="s">
        <v>324</v>
      </c>
      <c r="B69" s="217">
        <v>0</v>
      </c>
      <c r="C69" s="217">
        <v>0</v>
      </c>
      <c r="D69" s="217">
        <v>0</v>
      </c>
      <c r="E69" s="217">
        <v>2062.48</v>
      </c>
      <c r="F69" s="217">
        <v>0</v>
      </c>
      <c r="G69" s="217">
        <v>0</v>
      </c>
      <c r="H69" s="217">
        <v>0</v>
      </c>
      <c r="I69" s="217">
        <v>2062.48</v>
      </c>
      <c r="J69" s="217">
        <v>0</v>
      </c>
      <c r="K69" s="217">
        <v>0</v>
      </c>
      <c r="L69" s="217">
        <v>0</v>
      </c>
      <c r="M69" s="217">
        <v>0</v>
      </c>
      <c r="N69" s="218">
        <f t="shared" si="4"/>
        <v>4124.96</v>
      </c>
      <c r="O69" s="219"/>
    </row>
    <row r="70" spans="1:15" ht="13.8" x14ac:dyDescent="0.25">
      <c r="A70" s="139" t="s">
        <v>154</v>
      </c>
      <c r="B70" s="217">
        <v>0</v>
      </c>
      <c r="C70" s="217">
        <v>0</v>
      </c>
      <c r="D70" s="217">
        <v>6019.98</v>
      </c>
      <c r="E70" s="217">
        <v>0</v>
      </c>
      <c r="F70" s="217">
        <v>0</v>
      </c>
      <c r="G70" s="217">
        <v>0</v>
      </c>
      <c r="H70" s="217">
        <v>0</v>
      </c>
      <c r="I70" s="217">
        <v>0</v>
      </c>
      <c r="J70" s="217">
        <v>0</v>
      </c>
      <c r="K70" s="217">
        <v>0</v>
      </c>
      <c r="L70" s="217">
        <v>0</v>
      </c>
      <c r="M70" s="217">
        <v>9488.18</v>
      </c>
      <c r="N70" s="218">
        <f t="shared" si="4"/>
        <v>15508.16</v>
      </c>
      <c r="O70" s="219"/>
    </row>
    <row r="71" spans="1:15" ht="13.8" x14ac:dyDescent="0.25">
      <c r="A71" s="139" t="s">
        <v>155</v>
      </c>
      <c r="B71" s="217">
        <v>203</v>
      </c>
      <c r="C71" s="217">
        <v>403</v>
      </c>
      <c r="D71" s="217">
        <v>418</v>
      </c>
      <c r="E71" s="217">
        <v>406</v>
      </c>
      <c r="F71" s="217">
        <v>411</v>
      </c>
      <c r="G71" s="217">
        <v>733</v>
      </c>
      <c r="H71" s="217">
        <v>400</v>
      </c>
      <c r="I71" s="217">
        <v>400</v>
      </c>
      <c r="J71" s="217">
        <v>457</v>
      </c>
      <c r="K71" s="217">
        <v>400</v>
      </c>
      <c r="L71" s="217">
        <v>410</v>
      </c>
      <c r="M71" s="217">
        <v>0</v>
      </c>
      <c r="N71" s="218">
        <f t="shared" si="4"/>
        <v>4641</v>
      </c>
      <c r="O71" s="219"/>
    </row>
    <row r="72" spans="1:15" ht="13.8" x14ac:dyDescent="0.25">
      <c r="A72" s="139" t="s">
        <v>156</v>
      </c>
      <c r="B72" s="217">
        <v>1074.46</v>
      </c>
      <c r="C72" s="217">
        <v>0</v>
      </c>
      <c r="D72" s="217">
        <v>380.32</v>
      </c>
      <c r="E72" s="217">
        <v>1333.34</v>
      </c>
      <c r="F72" s="217">
        <v>346.9</v>
      </c>
      <c r="G72" s="217">
        <v>1484.16</v>
      </c>
      <c r="H72" s="217">
        <v>38.07</v>
      </c>
      <c r="I72" s="217">
        <v>449.03</v>
      </c>
      <c r="J72" s="217">
        <v>88.89</v>
      </c>
      <c r="K72" s="217">
        <v>9.39</v>
      </c>
      <c r="L72" s="217">
        <v>15.19</v>
      </c>
      <c r="M72" s="217">
        <v>0</v>
      </c>
      <c r="N72" s="218">
        <f t="shared" si="4"/>
        <v>5219.75</v>
      </c>
      <c r="O72" s="219"/>
    </row>
    <row r="73" spans="1:15" ht="13.8" x14ac:dyDescent="0.25">
      <c r="A73" s="139" t="s">
        <v>157</v>
      </c>
      <c r="B73" s="217">
        <v>0</v>
      </c>
      <c r="C73" s="217">
        <v>385.39</v>
      </c>
      <c r="D73" s="217">
        <v>350.35</v>
      </c>
      <c r="E73" s="217">
        <v>350.35</v>
      </c>
      <c r="F73" s="217">
        <v>350.35</v>
      </c>
      <c r="G73" s="217">
        <v>350.35</v>
      </c>
      <c r="H73" s="217">
        <v>350.35</v>
      </c>
      <c r="I73" s="217">
        <v>350.35</v>
      </c>
      <c r="J73" s="217">
        <v>350.35</v>
      </c>
      <c r="K73" s="217">
        <v>700.7</v>
      </c>
      <c r="L73" s="217">
        <v>350.35</v>
      </c>
      <c r="M73" s="217">
        <v>0</v>
      </c>
      <c r="N73" s="218">
        <f t="shared" si="4"/>
        <v>3888.89</v>
      </c>
      <c r="O73" s="219"/>
    </row>
    <row r="74" spans="1:15" ht="13.8" x14ac:dyDescent="0.25">
      <c r="A74" s="139" t="s">
        <v>158</v>
      </c>
      <c r="B74" s="217">
        <v>13.6</v>
      </c>
      <c r="C74" s="217">
        <v>13.4</v>
      </c>
      <c r="D74" s="217">
        <v>18.2</v>
      </c>
      <c r="E74" s="217">
        <v>15</v>
      </c>
      <c r="F74" s="217">
        <v>19.399999999999999</v>
      </c>
      <c r="G74" s="217">
        <v>13.6</v>
      </c>
      <c r="H74" s="217">
        <v>15.9</v>
      </c>
      <c r="I74" s="217">
        <v>20.3</v>
      </c>
      <c r="J74" s="217">
        <v>14.6</v>
      </c>
      <c r="K74" s="217">
        <v>17.7</v>
      </c>
      <c r="L74" s="217">
        <v>1.8</v>
      </c>
      <c r="M74" s="217">
        <v>0</v>
      </c>
      <c r="N74" s="218">
        <f t="shared" si="4"/>
        <v>163.5</v>
      </c>
      <c r="O74" s="219"/>
    </row>
    <row r="75" spans="1:15" ht="13.8" x14ac:dyDescent="0.25">
      <c r="A75" s="139" t="s">
        <v>325</v>
      </c>
      <c r="B75" s="217">
        <v>311.39999999999998</v>
      </c>
      <c r="C75" s="217">
        <v>0</v>
      </c>
      <c r="D75" s="217">
        <v>0</v>
      </c>
      <c r="E75" s="217">
        <v>0</v>
      </c>
      <c r="F75" s="217">
        <v>0</v>
      </c>
      <c r="G75" s="217">
        <v>0</v>
      </c>
      <c r="H75" s="217">
        <v>0</v>
      </c>
      <c r="I75" s="217">
        <v>0</v>
      </c>
      <c r="J75" s="217">
        <v>0</v>
      </c>
      <c r="K75" s="217">
        <v>0</v>
      </c>
      <c r="L75" s="217">
        <v>0</v>
      </c>
      <c r="M75" s="217">
        <v>0</v>
      </c>
      <c r="N75" s="218">
        <f t="shared" si="4"/>
        <v>311.39999999999998</v>
      </c>
      <c r="O75" s="219"/>
    </row>
    <row r="76" spans="1:15" ht="13.8" x14ac:dyDescent="0.25">
      <c r="A76" s="139" t="s">
        <v>159</v>
      </c>
      <c r="B76" s="217">
        <v>959.84</v>
      </c>
      <c r="C76" s="217">
        <v>149</v>
      </c>
      <c r="D76" s="217">
        <v>231.93</v>
      </c>
      <c r="E76" s="217">
        <v>0</v>
      </c>
      <c r="F76" s="217">
        <v>0</v>
      </c>
      <c r="G76" s="217">
        <v>815</v>
      </c>
      <c r="H76" s="217">
        <v>0</v>
      </c>
      <c r="I76" s="217">
        <v>1782.5</v>
      </c>
      <c r="J76" s="217">
        <v>0</v>
      </c>
      <c r="K76" s="217">
        <v>0</v>
      </c>
      <c r="L76" s="217">
        <v>0</v>
      </c>
      <c r="M76" s="217">
        <v>0</v>
      </c>
      <c r="N76" s="218">
        <f t="shared" si="4"/>
        <v>3938.2700000000004</v>
      </c>
      <c r="O76" s="219"/>
    </row>
    <row r="77" spans="1:15" customFormat="1" ht="15.6" x14ac:dyDescent="0.3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2"/>
      <c r="O77" s="44"/>
    </row>
    <row r="78" spans="1:15" ht="13.8" x14ac:dyDescent="0.25">
      <c r="A78" s="226" t="s">
        <v>160</v>
      </c>
      <c r="B78" s="227">
        <f t="shared" ref="B78:M78" si="5">ROUND(SUBTOTAL(9, B24:B77), 5)</f>
        <v>46713.02</v>
      </c>
      <c r="C78" s="227">
        <f t="shared" si="5"/>
        <v>99129.7</v>
      </c>
      <c r="D78" s="227">
        <f t="shared" si="5"/>
        <v>57952.33</v>
      </c>
      <c r="E78" s="227">
        <f t="shared" si="5"/>
        <v>52672.99</v>
      </c>
      <c r="F78" s="227">
        <f t="shared" si="5"/>
        <v>53480.11</v>
      </c>
      <c r="G78" s="227">
        <f t="shared" si="5"/>
        <v>56328.29</v>
      </c>
      <c r="H78" s="227">
        <f t="shared" si="5"/>
        <v>49093.32</v>
      </c>
      <c r="I78" s="227">
        <f t="shared" si="5"/>
        <v>57824.17</v>
      </c>
      <c r="J78" s="227">
        <f t="shared" si="5"/>
        <v>55042.67</v>
      </c>
      <c r="K78" s="227">
        <f t="shared" si="5"/>
        <v>72944.69</v>
      </c>
      <c r="L78" s="227">
        <f t="shared" si="5"/>
        <v>53017.39</v>
      </c>
      <c r="M78" s="227">
        <f t="shared" si="5"/>
        <v>16263.96</v>
      </c>
      <c r="N78" s="227">
        <f>SUM(B78:M78)</f>
        <v>670462.64</v>
      </c>
      <c r="O78" s="228"/>
    </row>
    <row r="79" spans="1:15" customFormat="1" ht="15.6" x14ac:dyDescent="0.3">
      <c r="A79" s="220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2"/>
      <c r="O79" s="44"/>
    </row>
    <row r="80" spans="1:15" ht="13.8" x14ac:dyDescent="0.25">
      <c r="A80" s="139" t="s">
        <v>161</v>
      </c>
      <c r="B80" s="225">
        <f t="shared" ref="B80:M80" si="6">-(ROUND(-B22+B78, 5))</f>
        <v>6873.9</v>
      </c>
      <c r="C80" s="217">
        <f t="shared" si="6"/>
        <v>-21417.99</v>
      </c>
      <c r="D80" s="217">
        <f t="shared" si="6"/>
        <v>-5933.25</v>
      </c>
      <c r="E80" s="217">
        <f t="shared" si="6"/>
        <v>28544.26</v>
      </c>
      <c r="F80" s="217">
        <f t="shared" si="6"/>
        <v>24115.66</v>
      </c>
      <c r="G80" s="217">
        <f t="shared" si="6"/>
        <v>19993.54</v>
      </c>
      <c r="H80" s="217">
        <f t="shared" si="6"/>
        <v>21804.9</v>
      </c>
      <c r="I80" s="217">
        <f t="shared" si="6"/>
        <v>14636.98</v>
      </c>
      <c r="J80" s="217">
        <f t="shared" si="6"/>
        <v>3164.17</v>
      </c>
      <c r="K80" s="217">
        <f t="shared" si="6"/>
        <v>13057.65</v>
      </c>
      <c r="L80" s="217">
        <f t="shared" si="6"/>
        <v>20417.36</v>
      </c>
      <c r="M80" s="217">
        <f t="shared" si="6"/>
        <v>-12003.94</v>
      </c>
      <c r="N80" s="218">
        <f t="shared" si="4"/>
        <v>113253.23999999998</v>
      </c>
      <c r="O80" s="219"/>
    </row>
    <row r="81" spans="1:15" customFormat="1" ht="15.6" x14ac:dyDescent="0.3">
      <c r="A81" s="22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2"/>
      <c r="O81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5EE6-8486-4509-8D69-21FD89806785}">
  <dimension ref="A3:I141"/>
  <sheetViews>
    <sheetView topLeftCell="A3" zoomScale="70" zoomScaleNormal="70" workbookViewId="0">
      <selection activeCell="H35" sqref="H35"/>
    </sheetView>
  </sheetViews>
  <sheetFormatPr defaultRowHeight="15.6" x14ac:dyDescent="0.3"/>
  <cols>
    <col min="1" max="1" width="12.7265625" bestFit="1" customWidth="1"/>
    <col min="2" max="2" width="1.08984375" bestFit="1" customWidth="1"/>
    <col min="3" max="3" width="25" bestFit="1" customWidth="1"/>
    <col min="4" max="4" width="28.81640625" bestFit="1" customWidth="1"/>
    <col min="5" max="5" width="17.08984375" bestFit="1" customWidth="1"/>
    <col min="6" max="6" width="37.26953125" bestFit="1" customWidth="1"/>
    <col min="7" max="7" width="20.7265625" bestFit="1" customWidth="1"/>
    <col min="8" max="8" width="11.6328125" bestFit="1" customWidth="1"/>
    <col min="9" max="256" width="10.90625" customWidth="1"/>
  </cols>
  <sheetData>
    <row r="3" spans="1:9" x14ac:dyDescent="0.3">
      <c r="A3" s="319" t="s">
        <v>326</v>
      </c>
      <c r="B3" s="319"/>
      <c r="C3" s="319"/>
      <c r="D3" s="319"/>
      <c r="E3" s="319"/>
      <c r="F3" s="319"/>
      <c r="G3" s="319"/>
      <c r="H3" s="319"/>
      <c r="I3" s="24"/>
    </row>
    <row r="4" spans="1:9" x14ac:dyDescent="0.3">
      <c r="A4" s="319" t="s">
        <v>61</v>
      </c>
      <c r="B4" s="319"/>
      <c r="C4" s="319"/>
      <c r="D4" s="319"/>
      <c r="E4" s="319"/>
      <c r="F4" s="319"/>
      <c r="G4" s="319"/>
      <c r="H4" s="319"/>
      <c r="I4" s="24"/>
    </row>
    <row r="5" spans="1:9" x14ac:dyDescent="0.3">
      <c r="A5" s="24" t="s">
        <v>12</v>
      </c>
      <c r="B5" s="24" t="s">
        <v>12</v>
      </c>
      <c r="C5" s="24"/>
      <c r="D5" s="24" t="s">
        <v>70</v>
      </c>
      <c r="E5" s="24"/>
      <c r="F5" s="24"/>
      <c r="G5" s="24"/>
      <c r="H5" s="24"/>
      <c r="I5" s="24"/>
    </row>
    <row r="6" spans="1:9" x14ac:dyDescent="0.3">
      <c r="A6" s="68" t="s">
        <v>53</v>
      </c>
      <c r="B6" s="68"/>
      <c r="C6" s="229">
        <v>0.08</v>
      </c>
      <c r="D6" s="68"/>
      <c r="E6" s="68"/>
      <c r="F6" s="68"/>
      <c r="G6" s="68"/>
      <c r="H6" s="68"/>
      <c r="I6" s="44"/>
    </row>
    <row r="7" spans="1:9" x14ac:dyDescent="0.3">
      <c r="A7" s="68" t="s">
        <v>269</v>
      </c>
      <c r="B7" s="68"/>
      <c r="C7" s="68">
        <v>3</v>
      </c>
      <c r="D7" s="68"/>
      <c r="E7" s="68"/>
      <c r="F7" s="68"/>
      <c r="G7" s="68"/>
      <c r="H7" s="68"/>
      <c r="I7" s="44"/>
    </row>
    <row r="8" spans="1:9" x14ac:dyDescent="0.3">
      <c r="A8" s="68"/>
      <c r="B8" s="68"/>
      <c r="C8" s="68"/>
      <c r="D8" s="68"/>
      <c r="E8" s="68"/>
      <c r="F8" s="68"/>
      <c r="G8" s="68"/>
      <c r="H8" s="68"/>
      <c r="I8" s="44"/>
    </row>
    <row r="9" spans="1:9" x14ac:dyDescent="0.3">
      <c r="A9" s="182" t="s">
        <v>28</v>
      </c>
      <c r="B9" s="68"/>
      <c r="C9" s="68"/>
      <c r="D9" s="68"/>
      <c r="E9" s="68"/>
      <c r="F9" s="68"/>
      <c r="G9" s="68"/>
      <c r="H9" s="68"/>
      <c r="I9" s="44"/>
    </row>
    <row r="10" spans="1:9" x14ac:dyDescent="0.3">
      <c r="A10" s="323" t="s">
        <v>271</v>
      </c>
      <c r="B10" s="68"/>
      <c r="C10" s="323" t="s">
        <v>272</v>
      </c>
      <c r="D10" s="323" t="s">
        <v>273</v>
      </c>
      <c r="E10" s="323" t="s">
        <v>274</v>
      </c>
      <c r="F10" s="323" t="s">
        <v>275</v>
      </c>
      <c r="G10" s="323" t="s">
        <v>276</v>
      </c>
      <c r="H10" s="323" t="s">
        <v>268</v>
      </c>
      <c r="I10" s="68"/>
    </row>
    <row r="11" spans="1:9" x14ac:dyDescent="0.3">
      <c r="A11" s="324"/>
      <c r="B11" s="68"/>
      <c r="C11" s="324"/>
      <c r="D11" s="324"/>
      <c r="E11" s="324"/>
      <c r="F11" s="324" t="s">
        <v>1</v>
      </c>
      <c r="G11" s="324"/>
      <c r="H11" s="324"/>
      <c r="I11" s="68"/>
    </row>
    <row r="12" spans="1:9" x14ac:dyDescent="0.3">
      <c r="A12" s="324"/>
      <c r="B12" s="68"/>
      <c r="C12" s="324"/>
      <c r="D12" s="324"/>
      <c r="E12" s="324"/>
      <c r="F12" s="324"/>
      <c r="G12" s="324"/>
      <c r="H12" s="324"/>
      <c r="I12" s="68"/>
    </row>
    <row r="13" spans="1:9" x14ac:dyDescent="0.3">
      <c r="A13" s="68"/>
      <c r="B13" s="68"/>
      <c r="C13" s="68"/>
      <c r="D13" s="68"/>
      <c r="E13" s="68"/>
      <c r="F13" s="68"/>
      <c r="G13" s="68"/>
      <c r="H13" s="44"/>
      <c r="I13" s="68"/>
    </row>
    <row r="14" spans="1:9" x14ac:dyDescent="0.3">
      <c r="A14" s="68"/>
      <c r="B14" s="68"/>
      <c r="C14" s="74"/>
      <c r="D14" s="74"/>
      <c r="E14" s="74"/>
      <c r="F14" s="74"/>
      <c r="G14" s="74"/>
      <c r="H14" s="230">
        <f>F15/12</f>
        <v>495.77748644652547</v>
      </c>
      <c r="I14" s="68"/>
    </row>
    <row r="15" spans="1:9" x14ac:dyDescent="0.3">
      <c r="A15" s="174">
        <v>2007</v>
      </c>
      <c r="B15" s="68"/>
      <c r="C15" s="231">
        <v>15332</v>
      </c>
      <c r="D15" s="231">
        <f>(F15-E15)</f>
        <v>4722.7698373583062</v>
      </c>
      <c r="E15" s="231">
        <f>(C15*$C$6)</f>
        <v>1226.56</v>
      </c>
      <c r="F15" s="231">
        <f>PMT($C$6,$C$7,-$C$15)</f>
        <v>5949.3298373583057</v>
      </c>
      <c r="G15" s="231">
        <f>(C15-D15)</f>
        <v>10609.230162641694</v>
      </c>
      <c r="H15" s="232"/>
      <c r="I15" s="233"/>
    </row>
    <row r="16" spans="1:9" x14ac:dyDescent="0.3">
      <c r="A16" s="174">
        <v>2008</v>
      </c>
      <c r="B16" s="68"/>
      <c r="C16" s="231">
        <f>G15</f>
        <v>10609.230162641694</v>
      </c>
      <c r="D16" s="231">
        <f>(F16-E16)</f>
        <v>5100.5914243469706</v>
      </c>
      <c r="E16" s="231">
        <f>(C16*$C$6)</f>
        <v>848.73841301133552</v>
      </c>
      <c r="F16" s="231">
        <f>PMT($C$6,$C$7,-$C$15)</f>
        <v>5949.3298373583057</v>
      </c>
      <c r="G16" s="231">
        <f>(C16-D16)</f>
        <v>5508.6387382947232</v>
      </c>
      <c r="H16" s="230"/>
      <c r="I16" s="233"/>
    </row>
    <row r="17" spans="1:9" x14ac:dyDescent="0.3">
      <c r="A17" s="174">
        <f>A16+1</f>
        <v>2009</v>
      </c>
      <c r="B17" s="68"/>
      <c r="C17" s="231">
        <f>G16</f>
        <v>5508.6387382947232</v>
      </c>
      <c r="D17" s="231">
        <f>(F17-E17)</f>
        <v>5508.6387382947278</v>
      </c>
      <c r="E17" s="231">
        <f>(C17*$C$6)</f>
        <v>440.69109906357789</v>
      </c>
      <c r="F17" s="231">
        <f>PMT($C$6,$C$7,-$C$15)</f>
        <v>5949.3298373583057</v>
      </c>
      <c r="G17" s="231">
        <f>(C17-D17)</f>
        <v>-4.5474735088646412E-12</v>
      </c>
      <c r="H17" s="230"/>
      <c r="I17" s="233"/>
    </row>
    <row r="18" spans="1:9" x14ac:dyDescent="0.3">
      <c r="A18" s="174"/>
      <c r="B18" s="68"/>
      <c r="C18" s="231"/>
      <c r="D18" s="231"/>
      <c r="E18" s="231"/>
      <c r="F18" s="231"/>
      <c r="G18" s="231"/>
      <c r="H18" s="234"/>
      <c r="I18" s="235"/>
    </row>
    <row r="19" spans="1:9" x14ac:dyDescent="0.3">
      <c r="A19" s="174"/>
      <c r="B19" s="68"/>
      <c r="C19" s="231"/>
      <c r="D19" s="231"/>
      <c r="E19" s="231"/>
      <c r="F19" s="231"/>
      <c r="G19" s="231"/>
      <c r="H19" s="234"/>
      <c r="I19" s="235"/>
    </row>
    <row r="20" spans="1:9" x14ac:dyDescent="0.3">
      <c r="A20" s="174"/>
      <c r="B20" s="68"/>
      <c r="C20" s="231"/>
      <c r="D20" s="231"/>
      <c r="E20" s="231"/>
      <c r="F20" s="231"/>
      <c r="G20" s="231" t="s">
        <v>12</v>
      </c>
      <c r="H20" s="234"/>
      <c r="I20" s="235"/>
    </row>
    <row r="21" spans="1:9" x14ac:dyDescent="0.3">
      <c r="A21" s="174" t="s">
        <v>12</v>
      </c>
      <c r="B21" s="68" t="s">
        <v>12</v>
      </c>
      <c r="C21" s="231"/>
      <c r="D21" s="231"/>
      <c r="E21" s="231"/>
      <c r="F21" s="231"/>
      <c r="G21" s="231"/>
      <c r="H21" s="234"/>
      <c r="I21" s="235"/>
    </row>
    <row r="22" spans="1:9" x14ac:dyDescent="0.3">
      <c r="A22" s="142" t="s">
        <v>0</v>
      </c>
      <c r="B22" s="142"/>
      <c r="C22" s="236"/>
      <c r="D22" s="236"/>
      <c r="E22" s="236"/>
      <c r="F22" s="236">
        <f>SUM(F15:F19)</f>
        <v>17847.989512074917</v>
      </c>
      <c r="G22" s="236"/>
      <c r="H22" s="237"/>
      <c r="I22" s="18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327"/>
      <c r="B24" s="327"/>
      <c r="C24" s="327"/>
      <c r="D24" s="327"/>
      <c r="E24" s="327"/>
      <c r="F24" s="327"/>
      <c r="G24" s="327"/>
      <c r="H24" s="327"/>
      <c r="I24" s="44"/>
    </row>
    <row r="25" spans="1:9" x14ac:dyDescent="0.3">
      <c r="A25" s="327" t="s">
        <v>326</v>
      </c>
      <c r="B25" s="327"/>
      <c r="C25" s="327"/>
      <c r="D25" s="327"/>
      <c r="E25" s="327"/>
      <c r="F25" s="327"/>
      <c r="G25" s="327"/>
      <c r="H25" s="327"/>
      <c r="I25" s="44"/>
    </row>
    <row r="26" spans="1:9" x14ac:dyDescent="0.3">
      <c r="A26" s="327" t="s">
        <v>62</v>
      </c>
      <c r="B26" s="327"/>
      <c r="C26" s="327"/>
      <c r="D26" s="327"/>
      <c r="E26" s="327"/>
      <c r="F26" s="327"/>
      <c r="G26" s="327"/>
      <c r="H26" s="327"/>
      <c r="I26" s="44"/>
    </row>
    <row r="27" spans="1:9" x14ac:dyDescent="0.3">
      <c r="A27" s="68" t="s">
        <v>12</v>
      </c>
      <c r="B27" s="68" t="s">
        <v>12</v>
      </c>
      <c r="C27" s="68"/>
      <c r="D27" s="68" t="s">
        <v>64</v>
      </c>
      <c r="E27" s="68"/>
      <c r="F27" s="68"/>
      <c r="G27" s="68"/>
      <c r="H27" s="68"/>
      <c r="I27" s="44"/>
    </row>
    <row r="28" spans="1:9" x14ac:dyDescent="0.3">
      <c r="A28" s="68" t="s">
        <v>53</v>
      </c>
      <c r="B28" s="68"/>
      <c r="C28" s="229">
        <v>8.2000000000000003E-2</v>
      </c>
      <c r="D28" s="68"/>
      <c r="E28" s="68"/>
      <c r="F28" s="68"/>
      <c r="G28" s="68"/>
      <c r="H28" s="68"/>
      <c r="I28" s="44"/>
    </row>
    <row r="29" spans="1:9" x14ac:dyDescent="0.3">
      <c r="A29" s="68" t="s">
        <v>269</v>
      </c>
      <c r="B29" s="68"/>
      <c r="C29" s="68">
        <v>4</v>
      </c>
      <c r="D29" s="68"/>
      <c r="E29" s="68"/>
      <c r="F29" s="68"/>
      <c r="G29" s="68"/>
      <c r="H29" s="68"/>
      <c r="I29" s="44"/>
    </row>
    <row r="30" spans="1:9" x14ac:dyDescent="0.3">
      <c r="A30" s="68"/>
      <c r="B30" s="68"/>
      <c r="C30" s="68"/>
      <c r="D30" s="68"/>
      <c r="E30" s="68"/>
      <c r="F30" s="68"/>
      <c r="G30" s="68"/>
      <c r="H30" s="68"/>
      <c r="I30" s="44"/>
    </row>
    <row r="31" spans="1:9" x14ac:dyDescent="0.3">
      <c r="A31" s="182" t="s">
        <v>28</v>
      </c>
      <c r="B31" s="68"/>
      <c r="C31" s="68"/>
      <c r="D31" s="68"/>
      <c r="E31" s="68"/>
      <c r="F31" s="68"/>
      <c r="G31" s="68"/>
      <c r="H31" s="68"/>
      <c r="I31" s="44"/>
    </row>
    <row r="32" spans="1:9" x14ac:dyDescent="0.3">
      <c r="A32" s="323" t="s">
        <v>271</v>
      </c>
      <c r="B32" s="68"/>
      <c r="C32" s="323" t="s">
        <v>272</v>
      </c>
      <c r="D32" s="323" t="s">
        <v>273</v>
      </c>
      <c r="E32" s="323" t="s">
        <v>274</v>
      </c>
      <c r="F32" s="323" t="s">
        <v>275</v>
      </c>
      <c r="G32" s="323" t="s">
        <v>276</v>
      </c>
      <c r="H32" s="323" t="s">
        <v>268</v>
      </c>
      <c r="I32" s="68"/>
    </row>
    <row r="33" spans="1:9" x14ac:dyDescent="0.3">
      <c r="A33" s="324"/>
      <c r="B33" s="68"/>
      <c r="C33" s="324"/>
      <c r="D33" s="324"/>
      <c r="E33" s="324"/>
      <c r="F33" s="324" t="s">
        <v>1</v>
      </c>
      <c r="G33" s="324"/>
      <c r="H33" s="324"/>
      <c r="I33" s="68"/>
    </row>
    <row r="34" spans="1:9" x14ac:dyDescent="0.3">
      <c r="A34" s="324"/>
      <c r="B34" s="68"/>
      <c r="C34" s="324"/>
      <c r="D34" s="324"/>
      <c r="E34" s="324"/>
      <c r="F34" s="324"/>
      <c r="G34" s="324"/>
      <c r="H34" s="324"/>
      <c r="I34" s="68"/>
    </row>
    <row r="35" spans="1:9" x14ac:dyDescent="0.3">
      <c r="A35" s="68"/>
      <c r="B35" s="68"/>
      <c r="C35" s="68"/>
      <c r="D35" s="68"/>
      <c r="E35" s="68"/>
      <c r="F35" s="68"/>
      <c r="G35" s="68"/>
      <c r="H35" s="44"/>
      <c r="I35" s="68"/>
    </row>
    <row r="36" spans="1:9" x14ac:dyDescent="0.3">
      <c r="A36" s="68"/>
      <c r="B36" s="68"/>
      <c r="C36" s="74"/>
      <c r="D36" s="74"/>
      <c r="E36" s="74"/>
      <c r="F36" s="74"/>
      <c r="G36" s="74"/>
      <c r="H36" s="230">
        <f>F37/12</f>
        <v>283.57897361583821</v>
      </c>
      <c r="I36" s="68"/>
    </row>
    <row r="37" spans="1:9" x14ac:dyDescent="0.3">
      <c r="A37" s="174">
        <v>2007</v>
      </c>
      <c r="B37" s="68"/>
      <c r="C37" s="231">
        <v>11221</v>
      </c>
      <c r="D37" s="231">
        <f>(F37-E37)</f>
        <v>2482.8256833900587</v>
      </c>
      <c r="E37" s="231">
        <f>(C37*$C$28)</f>
        <v>920.12200000000007</v>
      </c>
      <c r="F37" s="231">
        <f>PMT($C$28,$C$29,-$C$37)</f>
        <v>3402.9476833900585</v>
      </c>
      <c r="G37" s="231">
        <f>(C37-D37)</f>
        <v>8738.1743166099404</v>
      </c>
      <c r="H37" s="232"/>
      <c r="I37" s="233"/>
    </row>
    <row r="38" spans="1:9" x14ac:dyDescent="0.3">
      <c r="A38" s="174">
        <f>A37+1</f>
        <v>2008</v>
      </c>
      <c r="B38" s="68"/>
      <c r="C38" s="231">
        <f>G37</f>
        <v>8738.1743166099404</v>
      </c>
      <c r="D38" s="231">
        <f>(F38-E38)</f>
        <v>2686.4173894280434</v>
      </c>
      <c r="E38" s="231">
        <f>(C38*$C$28)</f>
        <v>716.53029396201509</v>
      </c>
      <c r="F38" s="231">
        <f>PMT($C$28,$C$29,-$C$37)</f>
        <v>3402.9476833900585</v>
      </c>
      <c r="G38" s="231">
        <f>(C38-D38)</f>
        <v>6051.7569271818975</v>
      </c>
      <c r="H38" s="230"/>
      <c r="I38" s="233"/>
    </row>
    <row r="39" spans="1:9" x14ac:dyDescent="0.3">
      <c r="A39" s="174">
        <f>A38+1</f>
        <v>2009</v>
      </c>
      <c r="B39" s="68"/>
      <c r="C39" s="231">
        <f>G38</f>
        <v>6051.7569271818975</v>
      </c>
      <c r="D39" s="231">
        <f>(F39-E39)</f>
        <v>2906.703615361143</v>
      </c>
      <c r="E39" s="231">
        <f>(C39*$C$28)</f>
        <v>496.24406802891559</v>
      </c>
      <c r="F39" s="231">
        <f>PMT($C$28,$C$29,-$C$37)</f>
        <v>3402.9476833900585</v>
      </c>
      <c r="G39" s="231">
        <f>(C39-D39)</f>
        <v>3145.0533118207545</v>
      </c>
      <c r="H39" s="230"/>
      <c r="I39" s="233"/>
    </row>
    <row r="40" spans="1:9" x14ac:dyDescent="0.3">
      <c r="A40" s="174">
        <f>A39+1</f>
        <v>2010</v>
      </c>
      <c r="B40" s="68"/>
      <c r="C40" s="231">
        <f>G39</f>
        <v>3145.0533118207545</v>
      </c>
      <c r="D40" s="231">
        <f>(F40-E40)</f>
        <v>3145.0533118207568</v>
      </c>
      <c r="E40" s="231">
        <f>(C40*$C$28)</f>
        <v>257.89437156930188</v>
      </c>
      <c r="F40" s="231">
        <f>PMT($C$28,$C$29,-$C$37)</f>
        <v>3402.9476833900585</v>
      </c>
      <c r="G40" s="231">
        <f>(C40-D40)</f>
        <v>-2.2737367544323206E-12</v>
      </c>
      <c r="H40" s="234"/>
      <c r="I40" s="235"/>
    </row>
    <row r="41" spans="1:9" x14ac:dyDescent="0.3">
      <c r="A41" s="174"/>
      <c r="B41" s="68"/>
      <c r="C41" s="231"/>
      <c r="D41" s="231"/>
      <c r="E41" s="231"/>
      <c r="F41" s="231"/>
      <c r="G41" s="231" t="s">
        <v>12</v>
      </c>
      <c r="H41" s="234"/>
      <c r="I41" s="235"/>
    </row>
    <row r="42" spans="1:9" x14ac:dyDescent="0.3">
      <c r="A42" s="174" t="s">
        <v>12</v>
      </c>
      <c r="B42" s="68" t="s">
        <v>12</v>
      </c>
      <c r="C42" s="175"/>
      <c r="D42" s="175"/>
      <c r="E42" s="175"/>
      <c r="F42" s="175"/>
      <c r="G42" s="175" t="s">
        <v>12</v>
      </c>
      <c r="H42" s="179"/>
      <c r="I42" s="235"/>
    </row>
    <row r="43" spans="1:9" x14ac:dyDescent="0.3">
      <c r="A43" s="142" t="s">
        <v>0</v>
      </c>
      <c r="B43" s="142"/>
      <c r="C43" s="183"/>
      <c r="D43" s="183"/>
      <c r="E43" s="183"/>
      <c r="F43" s="183">
        <f>SUM(F36:F40)</f>
        <v>13611.790733560234</v>
      </c>
      <c r="G43" s="142"/>
      <c r="H43" s="184"/>
      <c r="I43" s="184"/>
    </row>
    <row r="44" spans="1:9" x14ac:dyDescent="0.3">
      <c r="A44" s="44"/>
      <c r="B44" s="44"/>
      <c r="C44" s="44"/>
      <c r="D44" s="44"/>
      <c r="E44" s="44"/>
      <c r="F44" s="44"/>
      <c r="G44" s="44"/>
      <c r="H44" s="44"/>
      <c r="I44" s="44"/>
    </row>
    <row r="45" spans="1:9" x14ac:dyDescent="0.3">
      <c r="A45" s="44"/>
      <c r="B45" s="44"/>
      <c r="C45" s="44"/>
      <c r="D45" s="44"/>
      <c r="E45" s="44"/>
      <c r="F45" s="44"/>
      <c r="G45" s="44"/>
      <c r="H45" s="44"/>
      <c r="I45" s="44"/>
    </row>
    <row r="46" spans="1:9" x14ac:dyDescent="0.3">
      <c r="A46" s="44"/>
      <c r="B46" s="44"/>
      <c r="C46" s="44"/>
      <c r="D46" s="44"/>
      <c r="E46" s="44"/>
      <c r="F46" s="44"/>
      <c r="G46" s="44"/>
      <c r="H46" s="44"/>
      <c r="I46" s="44"/>
    </row>
    <row r="47" spans="1:9" x14ac:dyDescent="0.3">
      <c r="A47" s="44"/>
      <c r="B47" s="44"/>
      <c r="C47" s="44"/>
      <c r="D47" s="44"/>
      <c r="E47" s="44"/>
      <c r="F47" s="44"/>
      <c r="G47" s="44"/>
      <c r="H47" s="44"/>
      <c r="I47" s="44"/>
    </row>
    <row r="48" spans="1:9" x14ac:dyDescent="0.3">
      <c r="A48" s="44"/>
      <c r="B48" s="44"/>
      <c r="C48" s="44"/>
      <c r="D48" s="44"/>
      <c r="E48" s="44"/>
      <c r="F48" s="44"/>
      <c r="G48" s="44"/>
      <c r="H48" s="44"/>
      <c r="I48" s="44"/>
    </row>
    <row r="49" spans="1:9" x14ac:dyDescent="0.3">
      <c r="A49" s="44"/>
      <c r="B49" s="44"/>
      <c r="C49" s="44"/>
      <c r="D49" s="44"/>
      <c r="E49" s="44"/>
      <c r="F49" s="44"/>
      <c r="G49" s="44"/>
      <c r="H49" s="44"/>
      <c r="I49" s="44"/>
    </row>
    <row r="50" spans="1:9" x14ac:dyDescent="0.3">
      <c r="A50" s="44"/>
      <c r="B50" s="44"/>
      <c r="C50" s="44"/>
      <c r="D50" s="44"/>
      <c r="E50" s="44"/>
      <c r="F50" s="44"/>
      <c r="G50" s="44"/>
      <c r="H50" s="44"/>
      <c r="I50" s="44"/>
    </row>
    <row r="51" spans="1:9" x14ac:dyDescent="0.3">
      <c r="A51" s="44"/>
      <c r="B51" s="44"/>
      <c r="C51" s="44"/>
      <c r="D51" s="44"/>
      <c r="E51" s="44"/>
      <c r="F51" s="44"/>
      <c r="G51" s="44"/>
      <c r="H51" s="44"/>
      <c r="I51" s="44"/>
    </row>
    <row r="52" spans="1:9" x14ac:dyDescent="0.3">
      <c r="A52" s="327" t="s">
        <v>326</v>
      </c>
      <c r="B52" s="327"/>
      <c r="C52" s="327"/>
      <c r="D52" s="327"/>
      <c r="E52" s="327"/>
      <c r="F52" s="327"/>
      <c r="G52" s="327"/>
      <c r="H52" s="327"/>
      <c r="I52" s="44"/>
    </row>
    <row r="53" spans="1:9" x14ac:dyDescent="0.3">
      <c r="A53" s="327" t="s">
        <v>71</v>
      </c>
      <c r="B53" s="327"/>
      <c r="C53" s="327"/>
      <c r="D53" s="327"/>
      <c r="E53" s="327"/>
      <c r="F53" s="327"/>
      <c r="G53" s="327"/>
      <c r="H53" s="327"/>
      <c r="I53" s="44"/>
    </row>
    <row r="54" spans="1:9" x14ac:dyDescent="0.3">
      <c r="A54" s="68" t="s">
        <v>12</v>
      </c>
      <c r="B54" s="68" t="s">
        <v>12</v>
      </c>
      <c r="C54" s="68"/>
      <c r="D54" s="68" t="s">
        <v>63</v>
      </c>
      <c r="E54" s="68"/>
      <c r="F54" s="68"/>
      <c r="G54" s="68"/>
      <c r="H54" s="68"/>
      <c r="I54" s="44"/>
    </row>
    <row r="55" spans="1:9" x14ac:dyDescent="0.3">
      <c r="A55" s="68" t="s">
        <v>53</v>
      </c>
      <c r="B55" s="68"/>
      <c r="C55" s="229">
        <v>8.2000000000000003E-2</v>
      </c>
      <c r="D55" s="68"/>
      <c r="E55" s="68"/>
      <c r="F55" s="68"/>
      <c r="G55" s="68"/>
      <c r="H55" s="68"/>
      <c r="I55" s="44"/>
    </row>
    <row r="56" spans="1:9" x14ac:dyDescent="0.3">
      <c r="A56" s="68" t="s">
        <v>269</v>
      </c>
      <c r="B56" s="68"/>
      <c r="C56" s="68">
        <v>3</v>
      </c>
      <c r="D56" s="68"/>
      <c r="E56" s="68"/>
      <c r="F56" s="68"/>
      <c r="G56" s="68"/>
      <c r="H56" s="68"/>
      <c r="I56" s="44"/>
    </row>
    <row r="57" spans="1:9" x14ac:dyDescent="0.3">
      <c r="A57" s="68"/>
      <c r="B57" s="68"/>
      <c r="C57" s="68"/>
      <c r="D57" s="68"/>
      <c r="E57" s="68"/>
      <c r="F57" s="68"/>
      <c r="G57" s="68"/>
      <c r="H57" s="68"/>
      <c r="I57" s="44"/>
    </row>
    <row r="58" spans="1:9" x14ac:dyDescent="0.3">
      <c r="A58" s="182" t="s">
        <v>28</v>
      </c>
      <c r="B58" s="68"/>
      <c r="C58" s="68"/>
      <c r="D58" s="68"/>
      <c r="E58" s="68"/>
      <c r="F58" s="68"/>
      <c r="G58" s="68"/>
      <c r="H58" s="68"/>
      <c r="I58" s="44"/>
    </row>
    <row r="59" spans="1:9" x14ac:dyDescent="0.3">
      <c r="A59" s="323" t="s">
        <v>271</v>
      </c>
      <c r="B59" s="68"/>
      <c r="C59" s="323" t="s">
        <v>272</v>
      </c>
      <c r="D59" s="323" t="s">
        <v>273</v>
      </c>
      <c r="E59" s="323" t="s">
        <v>274</v>
      </c>
      <c r="F59" s="323" t="s">
        <v>275</v>
      </c>
      <c r="G59" s="323" t="s">
        <v>276</v>
      </c>
      <c r="H59" s="323" t="s">
        <v>268</v>
      </c>
      <c r="I59" s="44"/>
    </row>
    <row r="60" spans="1:9" x14ac:dyDescent="0.3">
      <c r="A60" s="324"/>
      <c r="B60" s="68"/>
      <c r="C60" s="324"/>
      <c r="D60" s="324"/>
      <c r="E60" s="324"/>
      <c r="F60" s="324" t="s">
        <v>1</v>
      </c>
      <c r="G60" s="324"/>
      <c r="H60" s="324"/>
      <c r="I60" s="44"/>
    </row>
    <row r="61" spans="1:9" x14ac:dyDescent="0.3">
      <c r="A61" s="324"/>
      <c r="B61" s="68"/>
      <c r="C61" s="324"/>
      <c r="D61" s="324"/>
      <c r="E61" s="324"/>
      <c r="F61" s="324"/>
      <c r="G61" s="324"/>
      <c r="H61" s="324"/>
      <c r="I61" s="44"/>
    </row>
    <row r="62" spans="1:9" x14ac:dyDescent="0.3">
      <c r="A62" s="68"/>
      <c r="B62" s="68"/>
      <c r="C62" s="68"/>
      <c r="D62" s="68"/>
      <c r="E62" s="68"/>
      <c r="F62" s="68"/>
      <c r="G62" s="68"/>
      <c r="H62" s="44"/>
      <c r="I62" s="44"/>
    </row>
    <row r="63" spans="1:9" x14ac:dyDescent="0.3">
      <c r="A63" s="68"/>
      <c r="B63" s="68"/>
      <c r="C63" s="74"/>
      <c r="D63" s="74"/>
      <c r="E63" s="74"/>
      <c r="F63" s="74"/>
      <c r="G63" s="74"/>
      <c r="H63" s="230">
        <f>F64/12</f>
        <v>630.59202491019846</v>
      </c>
      <c r="I63" s="44"/>
    </row>
    <row r="64" spans="1:9" x14ac:dyDescent="0.3">
      <c r="A64" s="174">
        <v>2007</v>
      </c>
      <c r="B64" s="68"/>
      <c r="C64" s="231">
        <v>19431</v>
      </c>
      <c r="D64" s="231">
        <f>(F64-E64)</f>
        <v>5973.7622989223819</v>
      </c>
      <c r="E64" s="231">
        <f>(C64*$C$55)</f>
        <v>1593.3420000000001</v>
      </c>
      <c r="F64" s="231">
        <f>PMT($C$55,$C$56,-$C$64)</f>
        <v>7567.1042989223815</v>
      </c>
      <c r="G64" s="231">
        <f>(C64-D64)</f>
        <v>13457.237701077618</v>
      </c>
      <c r="H64" s="232"/>
      <c r="I64" s="44"/>
    </row>
    <row r="65" spans="1:9" x14ac:dyDescent="0.3">
      <c r="A65" s="174">
        <v>2008</v>
      </c>
      <c r="B65" s="68"/>
      <c r="C65" s="231">
        <f>G64</f>
        <v>13457.237701077618</v>
      </c>
      <c r="D65" s="231">
        <f>(F65-E65)</f>
        <v>6463.6108074340173</v>
      </c>
      <c r="E65" s="231">
        <f>(C65*$C$55)</f>
        <v>1103.4934914883647</v>
      </c>
      <c r="F65" s="231">
        <f>PMT($C$55,$C$56,-$C$64)</f>
        <v>7567.1042989223815</v>
      </c>
      <c r="G65" s="231">
        <f>(C65-D65)</f>
        <v>6993.6268936436009</v>
      </c>
      <c r="H65" s="230"/>
      <c r="I65" s="44"/>
    </row>
    <row r="66" spans="1:9" x14ac:dyDescent="0.3">
      <c r="A66" s="174">
        <f>A65+1</f>
        <v>2009</v>
      </c>
      <c r="B66" s="68"/>
      <c r="C66" s="231">
        <f>G65</f>
        <v>6993.6268936436009</v>
      </c>
      <c r="D66" s="231">
        <f>(F66-E66)</f>
        <v>6993.6268936436063</v>
      </c>
      <c r="E66" s="231">
        <f>(C66*$C$55)</f>
        <v>573.47740527877534</v>
      </c>
      <c r="F66" s="231">
        <f>PMT($C$55,$C$56,-$C$64)</f>
        <v>7567.1042989223815</v>
      </c>
      <c r="G66" s="231">
        <f>(C66-D66)</f>
        <v>-5.4569682106375694E-12</v>
      </c>
      <c r="H66" s="230"/>
      <c r="I66" s="44"/>
    </row>
    <row r="67" spans="1:9" x14ac:dyDescent="0.3">
      <c r="A67" s="174"/>
      <c r="B67" s="68"/>
      <c r="C67" s="231"/>
      <c r="D67" s="231"/>
      <c r="E67" s="231"/>
      <c r="F67" s="231"/>
      <c r="G67" s="231"/>
      <c r="H67" s="234"/>
      <c r="I67" s="44"/>
    </row>
    <row r="68" spans="1:9" x14ac:dyDescent="0.3">
      <c r="A68" s="174"/>
      <c r="B68" s="68"/>
      <c r="C68" s="231"/>
      <c r="D68" s="231"/>
      <c r="E68" s="231"/>
      <c r="F68" s="231"/>
      <c r="G68" s="231"/>
      <c r="H68" s="234"/>
      <c r="I68" s="44"/>
    </row>
    <row r="69" spans="1:9" x14ac:dyDescent="0.3">
      <c r="A69" s="174"/>
      <c r="B69" s="68"/>
      <c r="C69" s="175"/>
      <c r="D69" s="175"/>
      <c r="E69" s="175"/>
      <c r="F69" s="175"/>
      <c r="G69" s="175" t="s">
        <v>12</v>
      </c>
      <c r="H69" s="179"/>
      <c r="I69" s="44"/>
    </row>
    <row r="70" spans="1:9" x14ac:dyDescent="0.3">
      <c r="A70" s="174" t="s">
        <v>12</v>
      </c>
      <c r="B70" s="68" t="s">
        <v>12</v>
      </c>
      <c r="C70" s="175"/>
      <c r="D70" s="175"/>
      <c r="E70" s="175"/>
      <c r="F70" s="175"/>
      <c r="G70" s="175"/>
      <c r="H70" s="179"/>
      <c r="I70" s="44"/>
    </row>
    <row r="71" spans="1:9" x14ac:dyDescent="0.3">
      <c r="A71" s="142" t="s">
        <v>0</v>
      </c>
      <c r="B71" s="142"/>
      <c r="C71" s="183"/>
      <c r="D71" s="183"/>
      <c r="E71" s="183"/>
      <c r="F71" s="183">
        <f>SUM(F64:F68)</f>
        <v>22701.312896767144</v>
      </c>
      <c r="G71" s="142"/>
      <c r="H71" s="184"/>
      <c r="I71" s="142"/>
    </row>
    <row r="72" spans="1:9" x14ac:dyDescent="0.3">
      <c r="A72" s="44"/>
      <c r="B72" s="44"/>
      <c r="C72" s="44"/>
      <c r="D72" s="44"/>
      <c r="E72" s="44"/>
      <c r="F72" s="44"/>
      <c r="G72" s="44"/>
      <c r="H72" s="44"/>
      <c r="I72" s="44"/>
    </row>
    <row r="73" spans="1:9" x14ac:dyDescent="0.3">
      <c r="A73" s="327"/>
      <c r="B73" s="327"/>
      <c r="C73" s="327"/>
      <c r="D73" s="327"/>
      <c r="E73" s="327"/>
      <c r="F73" s="327"/>
      <c r="G73" s="327"/>
      <c r="H73" s="327"/>
      <c r="I73" s="44"/>
    </row>
    <row r="74" spans="1:9" x14ac:dyDescent="0.3">
      <c r="A74" s="327" t="s">
        <v>326</v>
      </c>
      <c r="B74" s="327"/>
      <c r="C74" s="327"/>
      <c r="D74" s="327"/>
      <c r="E74" s="327"/>
      <c r="F74" s="327"/>
      <c r="G74" s="327"/>
      <c r="H74" s="327"/>
      <c r="I74" s="44"/>
    </row>
    <row r="75" spans="1:9" x14ac:dyDescent="0.3">
      <c r="A75" s="327" t="s">
        <v>72</v>
      </c>
      <c r="B75" s="327"/>
      <c r="C75" s="327"/>
      <c r="D75" s="327"/>
      <c r="E75" s="327"/>
      <c r="F75" s="327"/>
      <c r="G75" s="327"/>
      <c r="H75" s="327"/>
      <c r="I75" s="44"/>
    </row>
    <row r="76" spans="1:9" x14ac:dyDescent="0.3">
      <c r="A76" s="68" t="s">
        <v>12</v>
      </c>
      <c r="B76" s="68" t="s">
        <v>12</v>
      </c>
      <c r="C76" s="68"/>
      <c r="D76" s="68" t="s">
        <v>64</v>
      </c>
      <c r="E76" s="68"/>
      <c r="F76" s="68"/>
      <c r="G76" s="68"/>
      <c r="H76" s="68"/>
      <c r="I76" s="44"/>
    </row>
    <row r="77" spans="1:9" x14ac:dyDescent="0.3">
      <c r="A77" s="68" t="s">
        <v>53</v>
      </c>
      <c r="B77" s="68"/>
      <c r="C77" s="229">
        <v>7.9000000000000001E-2</v>
      </c>
      <c r="D77" s="68"/>
      <c r="E77" s="68"/>
      <c r="F77" s="68"/>
      <c r="G77" s="68"/>
      <c r="H77" s="68"/>
      <c r="I77" s="44"/>
    </row>
    <row r="78" spans="1:9" x14ac:dyDescent="0.3">
      <c r="A78" s="68" t="s">
        <v>269</v>
      </c>
      <c r="B78" s="68"/>
      <c r="C78" s="68">
        <v>3</v>
      </c>
      <c r="D78" s="68"/>
      <c r="E78" s="68"/>
      <c r="F78" s="68"/>
      <c r="G78" s="68"/>
      <c r="H78" s="68"/>
      <c r="I78" s="44"/>
    </row>
    <row r="79" spans="1:9" x14ac:dyDescent="0.3">
      <c r="A79" s="68"/>
      <c r="B79" s="68"/>
      <c r="C79" s="68"/>
      <c r="D79" s="68"/>
      <c r="E79" s="68"/>
      <c r="F79" s="68"/>
      <c r="G79" s="68"/>
      <c r="H79" s="68"/>
      <c r="I79" s="44"/>
    </row>
    <row r="80" spans="1:9" x14ac:dyDescent="0.3">
      <c r="A80" s="182" t="s">
        <v>28</v>
      </c>
      <c r="B80" s="68"/>
      <c r="C80" s="68"/>
      <c r="D80" s="68"/>
      <c r="E80" s="68"/>
      <c r="F80" s="68"/>
      <c r="G80" s="68"/>
      <c r="H80" s="68"/>
      <c r="I80" s="44"/>
    </row>
    <row r="81" spans="1:9" x14ac:dyDescent="0.3">
      <c r="A81" s="323" t="s">
        <v>271</v>
      </c>
      <c r="B81" s="68"/>
      <c r="C81" s="323" t="s">
        <v>272</v>
      </c>
      <c r="D81" s="323" t="s">
        <v>273</v>
      </c>
      <c r="E81" s="323" t="s">
        <v>274</v>
      </c>
      <c r="F81" s="323" t="s">
        <v>275</v>
      </c>
      <c r="G81" s="323" t="s">
        <v>276</v>
      </c>
      <c r="H81" s="323" t="s">
        <v>268</v>
      </c>
      <c r="I81" s="44"/>
    </row>
    <row r="82" spans="1:9" x14ac:dyDescent="0.3">
      <c r="A82" s="324"/>
      <c r="B82" s="68"/>
      <c r="C82" s="324"/>
      <c r="D82" s="324"/>
      <c r="E82" s="324"/>
      <c r="F82" s="324" t="s">
        <v>1</v>
      </c>
      <c r="G82" s="324"/>
      <c r="H82" s="324"/>
      <c r="I82" s="44"/>
    </row>
    <row r="83" spans="1:9" x14ac:dyDescent="0.3">
      <c r="A83" s="324"/>
      <c r="B83" s="68"/>
      <c r="C83" s="324"/>
      <c r="D83" s="324"/>
      <c r="E83" s="324"/>
      <c r="F83" s="324"/>
      <c r="G83" s="324"/>
      <c r="H83" s="324"/>
      <c r="I83" s="44"/>
    </row>
    <row r="84" spans="1:9" x14ac:dyDescent="0.3">
      <c r="A84" s="68"/>
      <c r="B84" s="68"/>
      <c r="C84" s="68"/>
      <c r="D84" s="68"/>
      <c r="E84" s="68"/>
      <c r="F84" s="68"/>
      <c r="G84" s="68"/>
      <c r="H84" s="44"/>
      <c r="I84" s="44"/>
    </row>
    <row r="85" spans="1:9" x14ac:dyDescent="0.3">
      <c r="A85" s="68"/>
      <c r="B85" s="68"/>
      <c r="C85" s="74"/>
      <c r="D85" s="74"/>
      <c r="E85" s="74"/>
      <c r="F85" s="74"/>
      <c r="G85" s="74"/>
      <c r="H85" s="230">
        <f>F86/12</f>
        <v>325.19879016404167</v>
      </c>
      <c r="I85" s="44"/>
    </row>
    <row r="86" spans="1:9" x14ac:dyDescent="0.3">
      <c r="A86" s="174">
        <v>2007</v>
      </c>
      <c r="B86" s="68"/>
      <c r="C86" s="231">
        <v>10075</v>
      </c>
      <c r="D86" s="231">
        <f>(F86-E86)</f>
        <v>3106.4604819685001</v>
      </c>
      <c r="E86" s="231">
        <f>(C86*$C$77)</f>
        <v>795.92499999999995</v>
      </c>
      <c r="F86" s="231">
        <f>PMT($C$77,$C$78,-$C$86)</f>
        <v>3902.3854819685002</v>
      </c>
      <c r="G86" s="231">
        <f>(C86-D86)</f>
        <v>6968.5395180314999</v>
      </c>
      <c r="H86" s="232"/>
      <c r="I86" s="44"/>
    </row>
    <row r="87" spans="1:9" x14ac:dyDescent="0.3">
      <c r="A87" s="174">
        <f>A86+1</f>
        <v>2008</v>
      </c>
      <c r="B87" s="68"/>
      <c r="C87" s="231">
        <f>G86</f>
        <v>6968.5395180314999</v>
      </c>
      <c r="D87" s="231">
        <f>(F87-E87)</f>
        <v>3351.8708600440118</v>
      </c>
      <c r="E87" s="231">
        <f>(C87*$C$77)</f>
        <v>550.51462192448855</v>
      </c>
      <c r="F87" s="231">
        <f>PMT($C$77,$C$78,-$C$86)</f>
        <v>3902.3854819685002</v>
      </c>
      <c r="G87" s="231">
        <f>(C87-D87)</f>
        <v>3616.6686579874881</v>
      </c>
      <c r="H87" s="230"/>
      <c r="I87" s="44"/>
    </row>
    <row r="88" spans="1:9" x14ac:dyDescent="0.3">
      <c r="A88" s="174">
        <f>A87+1</f>
        <v>2009</v>
      </c>
      <c r="B88" s="68"/>
      <c r="C88" s="231">
        <f>G87</f>
        <v>3616.6686579874881</v>
      </c>
      <c r="D88" s="231">
        <f>(F88-E88)</f>
        <v>3616.6686579874886</v>
      </c>
      <c r="E88" s="231">
        <f>(C88*$C$77)</f>
        <v>285.71682398101154</v>
      </c>
      <c r="F88" s="231">
        <f>PMT($C$77,$C$78,-$C$86)</f>
        <v>3902.3854819685002</v>
      </c>
      <c r="G88" s="231">
        <f>(C88-D88)</f>
        <v>-4.5474735088646412E-13</v>
      </c>
      <c r="H88" s="230"/>
      <c r="I88" s="44"/>
    </row>
    <row r="89" spans="1:9" x14ac:dyDescent="0.3">
      <c r="A89" s="174"/>
      <c r="B89" s="68"/>
      <c r="C89" s="231"/>
      <c r="D89" s="231"/>
      <c r="E89" s="231"/>
      <c r="F89" s="231"/>
      <c r="G89" s="231"/>
      <c r="H89" s="234"/>
      <c r="I89" s="44"/>
    </row>
    <row r="90" spans="1:9" x14ac:dyDescent="0.3">
      <c r="A90" s="174"/>
      <c r="B90" s="68"/>
      <c r="C90" s="231"/>
      <c r="D90" s="231"/>
      <c r="E90" s="231"/>
      <c r="F90" s="231"/>
      <c r="G90" s="231" t="s">
        <v>12</v>
      </c>
      <c r="H90" s="234"/>
      <c r="I90" s="44"/>
    </row>
    <row r="91" spans="1:9" x14ac:dyDescent="0.3">
      <c r="A91" s="174" t="s">
        <v>12</v>
      </c>
      <c r="B91" s="68" t="s">
        <v>12</v>
      </c>
      <c r="C91" s="175"/>
      <c r="D91" s="175"/>
      <c r="E91" s="175"/>
      <c r="F91" s="175"/>
      <c r="G91" s="175" t="s">
        <v>12</v>
      </c>
      <c r="H91" s="179"/>
      <c r="I91" s="44"/>
    </row>
    <row r="92" spans="1:9" x14ac:dyDescent="0.3">
      <c r="A92" s="142" t="s">
        <v>0</v>
      </c>
      <c r="B92" s="142"/>
      <c r="C92" s="183"/>
      <c r="D92" s="183"/>
      <c r="E92" s="183"/>
      <c r="F92" s="183">
        <f>SUM(F85:F89)</f>
        <v>11707.156445905501</v>
      </c>
      <c r="G92" s="142"/>
      <c r="H92" s="184"/>
      <c r="I92" s="142"/>
    </row>
    <row r="93" spans="1:9" x14ac:dyDescent="0.3">
      <c r="A93" s="44"/>
      <c r="B93" s="44"/>
      <c r="C93" s="44"/>
      <c r="D93" s="44"/>
      <c r="E93" s="44"/>
      <c r="F93" s="44"/>
      <c r="G93" s="44"/>
      <c r="H93" s="44"/>
      <c r="I93" s="44"/>
    </row>
    <row r="94" spans="1:9" x14ac:dyDescent="0.3">
      <c r="A94" s="44"/>
      <c r="B94" s="44"/>
      <c r="C94" s="44"/>
      <c r="D94" s="44"/>
      <c r="E94" s="44"/>
      <c r="F94" s="44"/>
      <c r="G94" s="44"/>
      <c r="H94" s="44"/>
      <c r="I94" s="44"/>
    </row>
    <row r="95" spans="1:9" x14ac:dyDescent="0.3">
      <c r="A95" s="44"/>
      <c r="B95" s="44"/>
      <c r="C95" s="44"/>
      <c r="D95" s="44"/>
      <c r="E95" s="44"/>
      <c r="F95" s="44"/>
      <c r="G95" s="44"/>
      <c r="H95" s="44"/>
      <c r="I95" s="44"/>
    </row>
    <row r="96" spans="1:9" x14ac:dyDescent="0.3">
      <c r="A96" s="44"/>
      <c r="B96" s="44"/>
      <c r="C96" s="44"/>
      <c r="D96" s="44"/>
      <c r="E96" s="44"/>
      <c r="F96" s="44"/>
      <c r="G96" s="44"/>
      <c r="H96" s="44"/>
      <c r="I96" s="44"/>
    </row>
    <row r="97" spans="1:9" x14ac:dyDescent="0.3">
      <c r="A97" s="44"/>
      <c r="B97" s="44"/>
      <c r="C97" s="44"/>
      <c r="D97" s="44"/>
      <c r="E97" s="44"/>
      <c r="F97" s="44"/>
      <c r="G97" s="44"/>
      <c r="H97" s="44"/>
      <c r="I97" s="44"/>
    </row>
    <row r="98" spans="1:9" x14ac:dyDescent="0.3">
      <c r="A98" s="44"/>
      <c r="B98" s="44"/>
      <c r="C98" s="44"/>
      <c r="D98" s="44"/>
      <c r="E98" s="44"/>
      <c r="F98" s="44"/>
      <c r="G98" s="44"/>
      <c r="H98" s="44"/>
      <c r="I98" s="44"/>
    </row>
    <row r="99" spans="1:9" x14ac:dyDescent="0.3">
      <c r="A99" s="44"/>
      <c r="B99" s="44"/>
      <c r="C99" s="44"/>
      <c r="D99" s="44"/>
      <c r="E99" s="44"/>
      <c r="F99" s="44"/>
      <c r="G99" s="44"/>
      <c r="H99" s="44"/>
      <c r="I99" s="44"/>
    </row>
    <row r="100" spans="1:9" x14ac:dyDescent="0.3">
      <c r="A100" s="327" t="s">
        <v>326</v>
      </c>
      <c r="B100" s="327"/>
      <c r="C100" s="327"/>
      <c r="D100" s="327"/>
      <c r="E100" s="327"/>
      <c r="F100" s="327"/>
      <c r="G100" s="327"/>
      <c r="H100" s="327"/>
      <c r="I100" s="44"/>
    </row>
    <row r="101" spans="1:9" x14ac:dyDescent="0.3">
      <c r="A101" s="327" t="s">
        <v>73</v>
      </c>
      <c r="B101" s="327"/>
      <c r="C101" s="327"/>
      <c r="D101" s="327"/>
      <c r="E101" s="327"/>
      <c r="F101" s="327"/>
      <c r="G101" s="327"/>
      <c r="H101" s="327"/>
      <c r="I101" s="44"/>
    </row>
    <row r="102" spans="1:9" x14ac:dyDescent="0.3">
      <c r="A102" s="68" t="s">
        <v>12</v>
      </c>
      <c r="B102" s="68" t="s">
        <v>12</v>
      </c>
      <c r="C102" s="68"/>
      <c r="D102" s="68" t="s">
        <v>63</v>
      </c>
      <c r="E102" s="68"/>
      <c r="F102" s="68"/>
      <c r="G102" s="68"/>
      <c r="H102" s="68"/>
      <c r="I102" s="44"/>
    </row>
    <row r="103" spans="1:9" x14ac:dyDescent="0.3">
      <c r="A103" s="68" t="s">
        <v>53</v>
      </c>
      <c r="B103" s="68"/>
      <c r="C103" s="229">
        <v>8.3799999999999999E-2</v>
      </c>
      <c r="D103" s="68"/>
      <c r="E103" s="68"/>
      <c r="F103" s="68"/>
      <c r="G103" s="68"/>
      <c r="H103" s="68"/>
      <c r="I103" s="44"/>
    </row>
    <row r="104" spans="1:9" x14ac:dyDescent="0.3">
      <c r="A104" s="68" t="s">
        <v>269</v>
      </c>
      <c r="B104" s="68"/>
      <c r="C104" s="68">
        <v>4</v>
      </c>
      <c r="D104" s="68"/>
      <c r="E104" s="68"/>
      <c r="F104" s="68"/>
      <c r="G104" s="68"/>
      <c r="H104" s="68"/>
      <c r="I104" s="44"/>
    </row>
    <row r="105" spans="1:9" x14ac:dyDescent="0.3">
      <c r="A105" s="68"/>
      <c r="B105" s="68"/>
      <c r="C105" s="68"/>
      <c r="D105" s="68"/>
      <c r="E105" s="68"/>
      <c r="F105" s="68"/>
      <c r="G105" s="68"/>
      <c r="H105" s="68"/>
      <c r="I105" s="44"/>
    </row>
    <row r="106" spans="1:9" x14ac:dyDescent="0.3">
      <c r="A106" s="182" t="s">
        <v>28</v>
      </c>
      <c r="B106" s="68"/>
      <c r="C106" s="68"/>
      <c r="D106" s="68"/>
      <c r="E106" s="68"/>
      <c r="F106" s="68"/>
      <c r="G106" s="68"/>
      <c r="H106" s="68"/>
      <c r="I106" s="44"/>
    </row>
    <row r="107" spans="1:9" x14ac:dyDescent="0.3">
      <c r="A107" s="323" t="s">
        <v>271</v>
      </c>
      <c r="B107" s="68"/>
      <c r="C107" s="323" t="s">
        <v>272</v>
      </c>
      <c r="D107" s="323" t="s">
        <v>273</v>
      </c>
      <c r="E107" s="323" t="s">
        <v>274</v>
      </c>
      <c r="F107" s="323" t="s">
        <v>275</v>
      </c>
      <c r="G107" s="323" t="s">
        <v>276</v>
      </c>
      <c r="H107" s="323" t="s">
        <v>268</v>
      </c>
      <c r="I107" s="44"/>
    </row>
    <row r="108" spans="1:9" x14ac:dyDescent="0.3">
      <c r="A108" s="324"/>
      <c r="B108" s="68"/>
      <c r="C108" s="324"/>
      <c r="D108" s="324"/>
      <c r="E108" s="324"/>
      <c r="F108" s="324" t="s">
        <v>1</v>
      </c>
      <c r="G108" s="324"/>
      <c r="H108" s="324"/>
      <c r="I108" s="44"/>
    </row>
    <row r="109" spans="1:9" x14ac:dyDescent="0.3">
      <c r="A109" s="324"/>
      <c r="B109" s="68"/>
      <c r="C109" s="324"/>
      <c r="D109" s="324"/>
      <c r="E109" s="324"/>
      <c r="F109" s="324"/>
      <c r="G109" s="324"/>
      <c r="H109" s="324"/>
      <c r="I109" s="44"/>
    </row>
    <row r="110" spans="1:9" x14ac:dyDescent="0.3">
      <c r="A110" s="68"/>
      <c r="B110" s="68"/>
      <c r="C110" s="68"/>
      <c r="D110" s="68"/>
      <c r="E110" s="68"/>
      <c r="F110" s="68"/>
      <c r="G110" s="68"/>
      <c r="H110" s="44"/>
      <c r="I110" s="44"/>
    </row>
    <row r="111" spans="1:9" x14ac:dyDescent="0.3">
      <c r="A111" s="68"/>
      <c r="B111" s="68"/>
      <c r="C111" s="74"/>
      <c r="D111" s="74"/>
      <c r="E111" s="74"/>
      <c r="F111" s="74"/>
      <c r="G111" s="74"/>
      <c r="H111" s="230">
        <f>F112/12</f>
        <v>1177.3170194995016</v>
      </c>
      <c r="I111" s="44"/>
    </row>
    <row r="112" spans="1:9" x14ac:dyDescent="0.3">
      <c r="A112" s="174">
        <v>2008</v>
      </c>
      <c r="B112" s="68"/>
      <c r="C112" s="231">
        <v>46400</v>
      </c>
      <c r="D112" s="231">
        <f>(F112-E112)</f>
        <v>10239.484233994021</v>
      </c>
      <c r="E112" s="231">
        <f>(C112*$C$103)</f>
        <v>3888.32</v>
      </c>
      <c r="F112" s="231">
        <f>PMT($C$103,$C$104,-$C$112)</f>
        <v>14127.80423399402</v>
      </c>
      <c r="G112" s="231">
        <f>(C112-D112)</f>
        <v>36160.515766005978</v>
      </c>
      <c r="H112" s="232"/>
      <c r="I112" s="44"/>
    </row>
    <row r="113" spans="1:9" x14ac:dyDescent="0.3">
      <c r="A113" s="174">
        <v>2009</v>
      </c>
      <c r="B113" s="68"/>
      <c r="C113" s="231">
        <f>G112</f>
        <v>36160.515766005978</v>
      </c>
      <c r="D113" s="231">
        <f>(F113-E113)</f>
        <v>11097.55301280272</v>
      </c>
      <c r="E113" s="231">
        <f>(C113*$C$103)</f>
        <v>3030.2512211913008</v>
      </c>
      <c r="F113" s="231">
        <f>PMT($C$103,$C$104,-$C$112)</f>
        <v>14127.80423399402</v>
      </c>
      <c r="G113" s="231">
        <f>(C113-D113)</f>
        <v>25062.962753203257</v>
      </c>
      <c r="H113" s="230"/>
      <c r="I113" s="44"/>
    </row>
    <row r="114" spans="1:9" x14ac:dyDescent="0.3">
      <c r="A114" s="174">
        <f>A113+1</f>
        <v>2010</v>
      </c>
      <c r="B114" s="68"/>
      <c r="C114" s="231">
        <f>G113</f>
        <v>25062.962753203257</v>
      </c>
      <c r="D114" s="231">
        <f>(F114-E114)</f>
        <v>12027.527955275587</v>
      </c>
      <c r="E114" s="231">
        <f>(C114*$C$103)</f>
        <v>2100.2762787184329</v>
      </c>
      <c r="F114" s="231">
        <f>PMT($C$103,$C$104,-$C$112)</f>
        <v>14127.80423399402</v>
      </c>
      <c r="G114" s="231">
        <f>(C114-D114)</f>
        <v>13035.43479792767</v>
      </c>
      <c r="H114" s="230"/>
      <c r="I114" s="44"/>
    </row>
    <row r="115" spans="1:9" x14ac:dyDescent="0.3">
      <c r="A115" s="174">
        <f>A114+1</f>
        <v>2011</v>
      </c>
      <c r="B115" s="68"/>
      <c r="C115" s="231">
        <f>G114</f>
        <v>13035.43479792767</v>
      </c>
      <c r="D115" s="231">
        <f>(F115-E115)</f>
        <v>13035.434797927681</v>
      </c>
      <c r="E115" s="231">
        <f>(C115*$C$103)</f>
        <v>1092.3694360663387</v>
      </c>
      <c r="F115" s="231">
        <f>PMT($C$103,$C$104,-$C$112)</f>
        <v>14127.80423399402</v>
      </c>
      <c r="G115" s="231">
        <f>(C115-D115)</f>
        <v>-1.0913936421275139E-11</v>
      </c>
      <c r="H115" s="234"/>
      <c r="I115" s="44"/>
    </row>
    <row r="116" spans="1:9" x14ac:dyDescent="0.3">
      <c r="A116" s="174"/>
      <c r="B116" s="68"/>
      <c r="C116" s="231"/>
      <c r="D116" s="231"/>
      <c r="E116" s="231"/>
      <c r="F116" s="231"/>
      <c r="G116" s="231"/>
      <c r="H116" s="234"/>
      <c r="I116" s="44"/>
    </row>
    <row r="117" spans="1:9" x14ac:dyDescent="0.3">
      <c r="A117" s="174"/>
      <c r="B117" s="68"/>
      <c r="C117" s="175"/>
      <c r="D117" s="175"/>
      <c r="E117" s="175"/>
      <c r="F117" s="175"/>
      <c r="G117" s="175" t="s">
        <v>12</v>
      </c>
      <c r="H117" s="179"/>
      <c r="I117" s="44"/>
    </row>
    <row r="118" spans="1:9" x14ac:dyDescent="0.3">
      <c r="A118" s="174" t="s">
        <v>12</v>
      </c>
      <c r="B118" s="68" t="s">
        <v>12</v>
      </c>
      <c r="C118" s="175"/>
      <c r="D118" s="175"/>
      <c r="E118" s="175"/>
      <c r="F118" s="175"/>
      <c r="G118" s="175"/>
      <c r="H118" s="179"/>
      <c r="I118" s="44"/>
    </row>
    <row r="119" spans="1:9" x14ac:dyDescent="0.3">
      <c r="A119" s="142" t="s">
        <v>0</v>
      </c>
      <c r="B119" s="142"/>
      <c r="C119" s="183"/>
      <c r="D119" s="183"/>
      <c r="E119" s="183"/>
      <c r="F119" s="183">
        <f>SUM(F112:F116)</f>
        <v>56511.216935976081</v>
      </c>
      <c r="G119" s="142"/>
      <c r="H119" s="184"/>
      <c r="I119" s="142"/>
    </row>
    <row r="120" spans="1:9" x14ac:dyDescent="0.3">
      <c r="A120" s="44"/>
      <c r="B120" s="44"/>
      <c r="C120" s="44"/>
      <c r="D120" s="44"/>
      <c r="E120" s="44"/>
      <c r="F120" s="44"/>
      <c r="G120" s="44"/>
      <c r="H120" s="44"/>
      <c r="I120" s="44"/>
    </row>
    <row r="121" spans="1:9" x14ac:dyDescent="0.3">
      <c r="A121" s="327"/>
      <c r="B121" s="327"/>
      <c r="C121" s="327"/>
      <c r="D121" s="327"/>
      <c r="E121" s="327"/>
      <c r="F121" s="327"/>
      <c r="G121" s="327"/>
      <c r="H121" s="327"/>
      <c r="I121" s="44"/>
    </row>
    <row r="122" spans="1:9" x14ac:dyDescent="0.3">
      <c r="A122" s="327" t="s">
        <v>326</v>
      </c>
      <c r="B122" s="327"/>
      <c r="C122" s="327"/>
      <c r="D122" s="327"/>
      <c r="E122" s="327"/>
      <c r="F122" s="327"/>
      <c r="G122" s="327"/>
      <c r="H122" s="327"/>
      <c r="I122" s="44"/>
    </row>
    <row r="123" spans="1:9" x14ac:dyDescent="0.3">
      <c r="A123" s="327" t="s">
        <v>99</v>
      </c>
      <c r="B123" s="327"/>
      <c r="C123" s="327"/>
      <c r="D123" s="327"/>
      <c r="E123" s="327"/>
      <c r="F123" s="327"/>
      <c r="G123" s="327"/>
      <c r="H123" s="327"/>
      <c r="I123" s="44"/>
    </row>
    <row r="124" spans="1:9" x14ac:dyDescent="0.3">
      <c r="A124" s="68" t="s">
        <v>12</v>
      </c>
      <c r="B124" s="68" t="s">
        <v>12</v>
      </c>
      <c r="C124" s="68"/>
      <c r="D124" s="68" t="s">
        <v>64</v>
      </c>
      <c r="E124" s="68"/>
      <c r="F124" s="68"/>
      <c r="G124" s="68"/>
      <c r="H124" s="68"/>
      <c r="I124" s="44"/>
    </row>
    <row r="125" spans="1:9" x14ac:dyDescent="0.3">
      <c r="A125" s="68" t="s">
        <v>53</v>
      </c>
      <c r="B125" s="68"/>
      <c r="C125" s="229">
        <v>0.10100000000000001</v>
      </c>
      <c r="D125" s="68"/>
      <c r="E125" s="68"/>
      <c r="F125" s="68"/>
      <c r="G125" s="68"/>
      <c r="H125" s="68"/>
      <c r="I125" s="44"/>
    </row>
    <row r="126" spans="1:9" x14ac:dyDescent="0.3">
      <c r="A126" s="68" t="s">
        <v>269</v>
      </c>
      <c r="B126" s="68"/>
      <c r="C126" s="68">
        <v>6</v>
      </c>
      <c r="D126" s="68"/>
      <c r="E126" s="68"/>
      <c r="F126" s="68"/>
      <c r="G126" s="68"/>
      <c r="H126" s="68"/>
      <c r="I126" s="44"/>
    </row>
    <row r="127" spans="1:9" x14ac:dyDescent="0.3">
      <c r="A127" s="68"/>
      <c r="B127" s="68"/>
      <c r="C127" s="68"/>
      <c r="D127" s="68"/>
      <c r="E127" s="68"/>
      <c r="F127" s="68"/>
      <c r="G127" s="68"/>
      <c r="H127" s="68"/>
      <c r="I127" s="44"/>
    </row>
    <row r="128" spans="1:9" x14ac:dyDescent="0.3">
      <c r="A128" s="182" t="s">
        <v>28</v>
      </c>
      <c r="B128" s="68"/>
      <c r="C128" s="68"/>
      <c r="D128" s="68"/>
      <c r="E128" s="68"/>
      <c r="F128" s="68"/>
      <c r="G128" s="68"/>
      <c r="H128" s="68"/>
      <c r="I128" s="44"/>
    </row>
    <row r="129" spans="1:9" x14ac:dyDescent="0.3">
      <c r="A129" s="323" t="s">
        <v>271</v>
      </c>
      <c r="B129" s="68"/>
      <c r="C129" s="323" t="s">
        <v>272</v>
      </c>
      <c r="D129" s="323" t="s">
        <v>273</v>
      </c>
      <c r="E129" s="323" t="s">
        <v>274</v>
      </c>
      <c r="F129" s="323" t="s">
        <v>275</v>
      </c>
      <c r="G129" s="323" t="s">
        <v>276</v>
      </c>
      <c r="H129" s="323" t="s">
        <v>268</v>
      </c>
      <c r="I129" s="44"/>
    </row>
    <row r="130" spans="1:9" x14ac:dyDescent="0.3">
      <c r="A130" s="324"/>
      <c r="B130" s="68"/>
      <c r="C130" s="324"/>
      <c r="D130" s="324"/>
      <c r="E130" s="324"/>
      <c r="F130" s="324" t="s">
        <v>1</v>
      </c>
      <c r="G130" s="324"/>
      <c r="H130" s="324"/>
      <c r="I130" s="44"/>
    </row>
    <row r="131" spans="1:9" x14ac:dyDescent="0.3">
      <c r="A131" s="324"/>
      <c r="B131" s="68"/>
      <c r="C131" s="324"/>
      <c r="D131" s="324"/>
      <c r="E131" s="324"/>
      <c r="F131" s="324"/>
      <c r="G131" s="324"/>
      <c r="H131" s="324"/>
      <c r="I131" s="44"/>
    </row>
    <row r="132" spans="1:9" x14ac:dyDescent="0.3">
      <c r="A132" s="68"/>
      <c r="B132" s="68"/>
      <c r="C132" s="68"/>
      <c r="D132" s="68"/>
      <c r="E132" s="68"/>
      <c r="F132" s="68"/>
      <c r="G132" s="68"/>
      <c r="H132" s="44"/>
      <c r="I132" s="44"/>
    </row>
    <row r="133" spans="1:9" x14ac:dyDescent="0.3">
      <c r="A133" s="68"/>
      <c r="B133" s="68"/>
      <c r="C133" s="74"/>
      <c r="D133" s="74"/>
      <c r="E133" s="74"/>
      <c r="F133" s="74"/>
      <c r="G133" s="74"/>
      <c r="H133" s="230">
        <f>F134/12</f>
        <v>1285.7336512268791</v>
      </c>
      <c r="I133" s="44"/>
    </row>
    <row r="134" spans="1:9" x14ac:dyDescent="0.3">
      <c r="A134" s="174">
        <v>2007</v>
      </c>
      <c r="B134" s="68"/>
      <c r="C134" s="231">
        <v>67000</v>
      </c>
      <c r="D134" s="231">
        <f t="shared" ref="D134:D139" si="0">(F134-E134)</f>
        <v>8661.8038147225507</v>
      </c>
      <c r="E134" s="231">
        <f t="shared" ref="E134:E139" si="1">(C134*$C$125)</f>
        <v>6767</v>
      </c>
      <c r="F134" s="231">
        <f t="shared" ref="F134:F139" si="2">PMT($C$125,$C$126,-$C$134)</f>
        <v>15428.803814722551</v>
      </c>
      <c r="G134" s="231">
        <f t="shared" ref="G134:G139" si="3">(C134-D134)</f>
        <v>58338.196185277448</v>
      </c>
      <c r="H134" s="232"/>
      <c r="I134" s="44"/>
    </row>
    <row r="135" spans="1:9" x14ac:dyDescent="0.3">
      <c r="A135" s="174">
        <f>A134+1</f>
        <v>2008</v>
      </c>
      <c r="B135" s="68"/>
      <c r="C135" s="231">
        <f>G134</f>
        <v>58338.196185277448</v>
      </c>
      <c r="D135" s="231">
        <f t="shared" si="0"/>
        <v>9536.6460000095285</v>
      </c>
      <c r="E135" s="231">
        <f t="shared" si="1"/>
        <v>5892.1578147130222</v>
      </c>
      <c r="F135" s="231">
        <f t="shared" si="2"/>
        <v>15428.803814722551</v>
      </c>
      <c r="G135" s="231">
        <f t="shared" si="3"/>
        <v>48801.550185267915</v>
      </c>
      <c r="H135" s="230"/>
      <c r="I135" s="44"/>
    </row>
    <row r="136" spans="1:9" x14ac:dyDescent="0.3">
      <c r="A136" s="174">
        <f>A135+1</f>
        <v>2009</v>
      </c>
      <c r="B136" s="68"/>
      <c r="C136" s="231">
        <f>G135</f>
        <v>48801.550185267915</v>
      </c>
      <c r="D136" s="231">
        <f t="shared" si="0"/>
        <v>10499.847246010491</v>
      </c>
      <c r="E136" s="231">
        <f t="shared" si="1"/>
        <v>4928.9565687120594</v>
      </c>
      <c r="F136" s="231">
        <f t="shared" si="2"/>
        <v>15428.803814722551</v>
      </c>
      <c r="G136" s="231">
        <f t="shared" si="3"/>
        <v>38301.702939257426</v>
      </c>
      <c r="H136" s="230"/>
      <c r="I136" s="44"/>
    </row>
    <row r="137" spans="1:9" x14ac:dyDescent="0.3">
      <c r="A137" s="174">
        <f>A136+1</f>
        <v>2010</v>
      </c>
      <c r="B137" s="68"/>
      <c r="C137" s="231">
        <f>G136</f>
        <v>38301.702939257426</v>
      </c>
      <c r="D137" s="231">
        <f t="shared" si="0"/>
        <v>11560.33181785755</v>
      </c>
      <c r="E137" s="231">
        <f t="shared" si="1"/>
        <v>3868.4719968650002</v>
      </c>
      <c r="F137" s="231">
        <f t="shared" si="2"/>
        <v>15428.803814722551</v>
      </c>
      <c r="G137" s="231">
        <f t="shared" si="3"/>
        <v>26741.371121399876</v>
      </c>
      <c r="H137" s="234"/>
      <c r="I137" s="44"/>
    </row>
    <row r="138" spans="1:9" x14ac:dyDescent="0.3">
      <c r="A138" s="174">
        <f>A137+1</f>
        <v>2011</v>
      </c>
      <c r="B138" s="68"/>
      <c r="C138" s="231">
        <f>G137</f>
        <v>26741.371121399876</v>
      </c>
      <c r="D138" s="231">
        <f t="shared" si="0"/>
        <v>12727.925331461163</v>
      </c>
      <c r="E138" s="231">
        <f t="shared" si="1"/>
        <v>2700.8784832613878</v>
      </c>
      <c r="F138" s="231">
        <f t="shared" si="2"/>
        <v>15428.803814722551</v>
      </c>
      <c r="G138" s="231">
        <f t="shared" si="3"/>
        <v>14013.445789938713</v>
      </c>
      <c r="H138" s="234"/>
      <c r="I138" s="44"/>
    </row>
    <row r="139" spans="1:9" x14ac:dyDescent="0.3">
      <c r="A139" s="174">
        <f>A138+1</f>
        <v>2012</v>
      </c>
      <c r="B139" s="68" t="s">
        <v>12</v>
      </c>
      <c r="C139" s="231">
        <f>G138</f>
        <v>14013.445789938713</v>
      </c>
      <c r="D139" s="231">
        <f t="shared" si="0"/>
        <v>14013.44578993874</v>
      </c>
      <c r="E139" s="231">
        <f t="shared" si="1"/>
        <v>1415.3580247838102</v>
      </c>
      <c r="F139" s="231">
        <f t="shared" si="2"/>
        <v>15428.803814722551</v>
      </c>
      <c r="G139" s="231">
        <f t="shared" si="3"/>
        <v>-2.7284841053187847E-11</v>
      </c>
      <c r="H139" s="179"/>
      <c r="I139" s="44"/>
    </row>
    <row r="140" spans="1:9" x14ac:dyDescent="0.3">
      <c r="A140" s="142" t="s">
        <v>0</v>
      </c>
      <c r="B140" s="142"/>
      <c r="C140" s="183"/>
      <c r="D140" s="183"/>
      <c r="E140" s="183"/>
      <c r="F140" s="183">
        <f>SUM(F133:F137)</f>
        <v>61715.215258890203</v>
      </c>
      <c r="G140" s="142"/>
      <c r="H140" s="184"/>
      <c r="I140" s="142"/>
    </row>
    <row r="141" spans="1:9" x14ac:dyDescent="0.3">
      <c r="A141" s="44"/>
      <c r="B141" s="44"/>
      <c r="C141" s="44"/>
      <c r="D141" s="44"/>
      <c r="E141" s="44"/>
      <c r="F141" s="44"/>
      <c r="G141" s="44"/>
      <c r="H141" s="44"/>
      <c r="I141" s="44"/>
    </row>
  </sheetData>
  <mergeCells count="57">
    <mergeCell ref="F10:F12"/>
    <mergeCell ref="G10:G12"/>
    <mergeCell ref="H10:H12"/>
    <mergeCell ref="A3:H3"/>
    <mergeCell ref="A4:H4"/>
    <mergeCell ref="A10:A12"/>
    <mergeCell ref="C10:C12"/>
    <mergeCell ref="D10:D12"/>
    <mergeCell ref="E10:E12"/>
    <mergeCell ref="A24:H24"/>
    <mergeCell ref="A25:H25"/>
    <mergeCell ref="A26:H26"/>
    <mergeCell ref="A32:A34"/>
    <mergeCell ref="C32:C34"/>
    <mergeCell ref="D32:D34"/>
    <mergeCell ref="E32:E34"/>
    <mergeCell ref="F32:F34"/>
    <mergeCell ref="G32:G34"/>
    <mergeCell ref="H32:H34"/>
    <mergeCell ref="A52:H52"/>
    <mergeCell ref="A53:H53"/>
    <mergeCell ref="A59:A61"/>
    <mergeCell ref="C59:C61"/>
    <mergeCell ref="D59:D61"/>
    <mergeCell ref="E59:E61"/>
    <mergeCell ref="F59:F61"/>
    <mergeCell ref="G59:G61"/>
    <mergeCell ref="H59:H61"/>
    <mergeCell ref="A73:H73"/>
    <mergeCell ref="A74:H74"/>
    <mergeCell ref="A75:H75"/>
    <mergeCell ref="A81:A83"/>
    <mergeCell ref="C81:C83"/>
    <mergeCell ref="D81:D83"/>
    <mergeCell ref="E81:E83"/>
    <mergeCell ref="F81:F83"/>
    <mergeCell ref="G81:G83"/>
    <mergeCell ref="H81:H83"/>
    <mergeCell ref="A100:H100"/>
    <mergeCell ref="A101:H101"/>
    <mergeCell ref="A107:A109"/>
    <mergeCell ref="C107:C109"/>
    <mergeCell ref="D107:D109"/>
    <mergeCell ref="E107:E109"/>
    <mergeCell ref="F107:F109"/>
    <mergeCell ref="G107:G109"/>
    <mergeCell ref="H107:H109"/>
    <mergeCell ref="A121:H121"/>
    <mergeCell ref="A122:H122"/>
    <mergeCell ref="A123:H123"/>
    <mergeCell ref="A129:A131"/>
    <mergeCell ref="C129:C131"/>
    <mergeCell ref="D129:D131"/>
    <mergeCell ref="E129:E131"/>
    <mergeCell ref="F129:F131"/>
    <mergeCell ref="G129:G131"/>
    <mergeCell ref="H129:H131"/>
  </mergeCells>
  <pageMargins left="0.7" right="0.7" top="0.75" bottom="0.75" header="0.3" footer="0.3"/>
  <pageSetup paperSize="9" orientation="portrait" horizontalDpi="4294967293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CB01-9BA9-404A-AE82-31D2EF28CAC7}">
  <dimension ref="A1:J74"/>
  <sheetViews>
    <sheetView zoomScale="90" zoomScaleNormal="90" workbookViewId="0">
      <selection activeCell="A18" sqref="A18"/>
    </sheetView>
  </sheetViews>
  <sheetFormatPr defaultRowHeight="15.6" x14ac:dyDescent="0.3"/>
  <cols>
    <col min="1" max="1" width="38.08984375" bestFit="1" customWidth="1"/>
    <col min="2" max="3" width="10.90625" customWidth="1"/>
    <col min="4" max="4" width="9" bestFit="1" customWidth="1"/>
    <col min="5" max="5" width="9.90625" bestFit="1" customWidth="1"/>
    <col min="6" max="6" width="8.81640625" bestFit="1" customWidth="1"/>
    <col min="7" max="8" width="9.81640625" bestFit="1" customWidth="1"/>
    <col min="9" max="9" width="7.453125" bestFit="1" customWidth="1"/>
    <col min="10" max="10" width="9.81640625" bestFit="1" customWidth="1"/>
    <col min="11" max="256" width="10.90625" customWidth="1"/>
  </cols>
  <sheetData>
    <row r="1" spans="1:10" x14ac:dyDescent="0.3">
      <c r="A1" s="24"/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">
      <c r="A2" s="329" t="s">
        <v>82</v>
      </c>
      <c r="B2" s="329"/>
      <c r="C2" s="329"/>
      <c r="D2" s="329"/>
      <c r="E2" s="329"/>
      <c r="F2" s="329"/>
      <c r="G2" s="24"/>
      <c r="H2" s="24"/>
      <c r="I2" s="24"/>
      <c r="J2" s="24"/>
    </row>
    <row r="3" spans="1:10" x14ac:dyDescent="0.3">
      <c r="A3" s="329" t="s">
        <v>327</v>
      </c>
      <c r="B3" s="329"/>
      <c r="C3" s="329"/>
      <c r="D3" s="329"/>
      <c r="E3" s="329"/>
      <c r="F3" s="329"/>
      <c r="G3" s="24"/>
      <c r="H3" s="24"/>
      <c r="I3" s="24"/>
      <c r="J3" s="24"/>
    </row>
    <row r="4" spans="1:10" x14ac:dyDescent="0.3">
      <c r="A4" s="330" t="s">
        <v>328</v>
      </c>
      <c r="B4" s="330"/>
      <c r="C4" s="330"/>
      <c r="D4" s="330"/>
      <c r="E4" s="330"/>
      <c r="F4" s="330"/>
      <c r="G4" s="44"/>
      <c r="H4" s="44"/>
      <c r="I4" s="44"/>
      <c r="J4" s="44"/>
    </row>
    <row r="5" spans="1:10" x14ac:dyDescent="0.3">
      <c r="A5" s="330" t="s">
        <v>83</v>
      </c>
      <c r="B5" s="330"/>
      <c r="C5" s="330"/>
      <c r="D5" s="330"/>
      <c r="E5" s="330"/>
      <c r="F5" s="330"/>
      <c r="G5" s="44"/>
      <c r="H5" s="44"/>
      <c r="I5" s="44"/>
      <c r="J5" s="44"/>
    </row>
    <row r="6" spans="1:10" x14ac:dyDescent="0.3">
      <c r="A6" s="44"/>
      <c r="B6" s="44"/>
      <c r="C6" s="44"/>
      <c r="D6" s="239" t="s">
        <v>278</v>
      </c>
      <c r="E6" s="44"/>
      <c r="F6" s="239" t="s">
        <v>183</v>
      </c>
      <c r="G6" s="44"/>
      <c r="H6" s="44"/>
      <c r="I6" s="44"/>
      <c r="J6" s="44"/>
    </row>
    <row r="7" spans="1:10" x14ac:dyDescent="0.3">
      <c r="A7" s="238" t="s">
        <v>84</v>
      </c>
      <c r="B7" s="145"/>
      <c r="C7" s="145"/>
      <c r="D7" s="240">
        <v>2006</v>
      </c>
      <c r="E7" s="240">
        <v>2007</v>
      </c>
      <c r="F7" s="240">
        <f>E7+1</f>
        <v>2008</v>
      </c>
      <c r="G7" s="240">
        <f>F7+1</f>
        <v>2009</v>
      </c>
      <c r="H7" s="240">
        <f>G7+1</f>
        <v>2010</v>
      </c>
      <c r="I7" s="240">
        <f>H7+1</f>
        <v>2011</v>
      </c>
      <c r="J7" s="240">
        <f>I7+1</f>
        <v>2012</v>
      </c>
    </row>
    <row r="8" spans="1:10" x14ac:dyDescent="0.3">
      <c r="A8" s="44"/>
      <c r="B8" s="44"/>
      <c r="C8" s="44"/>
      <c r="D8" s="239"/>
      <c r="E8" s="239"/>
      <c r="F8" s="44"/>
      <c r="G8" s="44"/>
      <c r="H8" s="44"/>
      <c r="I8" s="44"/>
      <c r="J8" s="44"/>
    </row>
    <row r="9" spans="1:10" x14ac:dyDescent="0.3">
      <c r="A9" s="114" t="s">
        <v>85</v>
      </c>
      <c r="B9" s="44"/>
      <c r="C9" s="44"/>
      <c r="D9" s="239"/>
      <c r="E9" s="239"/>
      <c r="F9" s="44"/>
      <c r="G9" s="44"/>
      <c r="H9" s="44"/>
      <c r="I9" s="44"/>
      <c r="J9" s="44"/>
    </row>
    <row r="10" spans="1:10" x14ac:dyDescent="0.3">
      <c r="A10" s="44" t="s">
        <v>329</v>
      </c>
      <c r="B10" s="148"/>
      <c r="C10" s="241"/>
      <c r="D10" s="239">
        <v>54025</v>
      </c>
      <c r="E10" s="239">
        <v>122370</v>
      </c>
      <c r="F10" s="130">
        <f>280000-143355-15004+6001</f>
        <v>127642</v>
      </c>
      <c r="G10" s="130">
        <f>305000-168892-1950</f>
        <v>134158</v>
      </c>
      <c r="H10" s="130">
        <f>320000+163000+914</f>
        <v>483914</v>
      </c>
      <c r="I10" s="130">
        <f>345000+699147</f>
        <v>1044147</v>
      </c>
      <c r="J10" s="130">
        <f>375000+1392202</f>
        <v>1767202</v>
      </c>
    </row>
    <row r="11" spans="1:10" x14ac:dyDescent="0.3">
      <c r="A11" s="44" t="s">
        <v>330</v>
      </c>
      <c r="B11" s="148"/>
      <c r="C11" s="241"/>
      <c r="D11" s="239">
        <v>35580</v>
      </c>
      <c r="E11" s="239">
        <v>124852</v>
      </c>
      <c r="F11" s="130">
        <f>'P&amp;L (Old)'!$G$9*F69</f>
        <v>174872.75999999998</v>
      </c>
      <c r="G11" s="130">
        <f>'P&amp;L (Old)'!$H$9*G69</f>
        <v>224274.20031005205</v>
      </c>
      <c r="H11" s="130">
        <f>'P&amp;L (Old)'!$I$9*H69</f>
        <v>282398.11328436091</v>
      </c>
      <c r="I11" s="130">
        <f>'P&amp;L (Old)'!$J$9*I69</f>
        <v>349986.28136630286</v>
      </c>
      <c r="J11" s="130" t="e">
        <f>'P&amp;L (Old)'!#REF!*J69</f>
        <v>#REF!</v>
      </c>
    </row>
    <row r="12" spans="1:10" x14ac:dyDescent="0.3">
      <c r="A12" s="44" t="s">
        <v>331</v>
      </c>
      <c r="B12" s="148"/>
      <c r="C12" s="241"/>
      <c r="D12" s="239">
        <v>49207</v>
      </c>
      <c r="E12" s="239">
        <f>199397-35000</f>
        <v>164397</v>
      </c>
      <c r="F12" s="130">
        <f>'P&amp;L (Old)'!$G$9*F70</f>
        <v>234620.95300000001</v>
      </c>
      <c r="G12" s="130">
        <f>'P&amp;L (Old)'!$H$9*G70</f>
        <v>300901.21874931984</v>
      </c>
      <c r="H12" s="130">
        <f>'P&amp;L (Old)'!$I$9*H70</f>
        <v>380151.30634433194</v>
      </c>
      <c r="I12" s="130">
        <f>'P&amp;L (Old)'!$J$9*I70</f>
        <v>449982.36175667506</v>
      </c>
      <c r="J12" s="130" t="e">
        <f>'P&amp;L (Old)'!#REF!*J70</f>
        <v>#REF!</v>
      </c>
    </row>
    <row r="13" spans="1:10" x14ac:dyDescent="0.3">
      <c r="A13" s="44" t="s">
        <v>332</v>
      </c>
      <c r="B13" s="148"/>
      <c r="C13" s="241"/>
      <c r="D13" s="239">
        <v>175296.94</v>
      </c>
      <c r="E13" s="239">
        <f>333833-10757</f>
        <v>323076</v>
      </c>
      <c r="F13" s="130">
        <f>'P&amp;L (Old)'!$G$9*F71</f>
        <v>437181.89999999997</v>
      </c>
      <c r="G13" s="130">
        <f>'P&amp;L (Old)'!$H$9*G71</f>
        <v>495272.192351365</v>
      </c>
      <c r="H13" s="130">
        <f>'P&amp;L (Old)'!$I$9*H71</f>
        <v>575657.69246427412</v>
      </c>
      <c r="I13" s="130">
        <f>'P&amp;L (Old)'!$J$9*I71</f>
        <v>662474.03258621611</v>
      </c>
      <c r="J13" s="130" t="e">
        <f>'P&amp;L (Old)'!#REF!*J71</f>
        <v>#REF!</v>
      </c>
    </row>
    <row r="14" spans="1:10" s="9" customFormat="1" x14ac:dyDescent="0.3">
      <c r="A14" s="142" t="s">
        <v>86</v>
      </c>
      <c r="B14" s="142"/>
      <c r="C14" s="256"/>
      <c r="D14" s="257">
        <f t="shared" ref="D14:J14" si="0">SUM(D10:D13)</f>
        <v>314108.94</v>
      </c>
      <c r="E14" s="257">
        <f t="shared" si="0"/>
        <v>734695</v>
      </c>
      <c r="F14" s="258">
        <f t="shared" si="0"/>
        <v>974317.6129999999</v>
      </c>
      <c r="G14" s="258">
        <f t="shared" si="0"/>
        <v>1154605.6114107368</v>
      </c>
      <c r="H14" s="258">
        <f t="shared" si="0"/>
        <v>1722121.1120929669</v>
      </c>
      <c r="I14" s="258">
        <f t="shared" si="0"/>
        <v>2506589.675709194</v>
      </c>
      <c r="J14" s="258" t="e">
        <f t="shared" si="0"/>
        <v>#REF!</v>
      </c>
    </row>
    <row r="15" spans="1:10" x14ac:dyDescent="0.3">
      <c r="A15" s="44"/>
      <c r="B15" s="44"/>
      <c r="C15" s="241"/>
      <c r="D15" s="239"/>
      <c r="E15" s="239"/>
      <c r="F15" s="44"/>
      <c r="G15" s="44"/>
      <c r="H15" s="44"/>
      <c r="I15" s="44"/>
      <c r="J15" s="44"/>
    </row>
    <row r="16" spans="1:10" x14ac:dyDescent="0.3">
      <c r="A16" s="242" t="s">
        <v>333</v>
      </c>
      <c r="B16" s="44"/>
      <c r="C16" s="241"/>
      <c r="D16" s="239"/>
      <c r="E16" s="239"/>
      <c r="F16" s="44"/>
      <c r="G16" s="44"/>
      <c r="H16" s="44"/>
      <c r="I16" s="44"/>
      <c r="J16" s="44"/>
    </row>
    <row r="17" spans="1:10" x14ac:dyDescent="0.3">
      <c r="A17" s="44" t="s">
        <v>101</v>
      </c>
      <c r="B17" s="44"/>
      <c r="C17" s="241"/>
      <c r="D17" s="239"/>
      <c r="E17" s="239"/>
      <c r="F17" s="130">
        <v>400000</v>
      </c>
      <c r="G17" s="44">
        <f>F17-(400000/15)</f>
        <v>373333.33333333331</v>
      </c>
      <c r="H17" s="44">
        <f>G17-(400000/15)</f>
        <v>346666.66666666663</v>
      </c>
      <c r="I17" s="44">
        <f>H17-(400000/15)</f>
        <v>319999.99999999994</v>
      </c>
      <c r="J17" s="44">
        <f>I17-(400000/15)</f>
        <v>293333.33333333326</v>
      </c>
    </row>
    <row r="18" spans="1:10" x14ac:dyDescent="0.3">
      <c r="A18" s="44" t="s">
        <v>334</v>
      </c>
      <c r="B18" s="44"/>
      <c r="C18" s="241"/>
      <c r="D18" s="239">
        <f>57989.36-8006.5</f>
        <v>49982.86</v>
      </c>
      <c r="E18" s="239">
        <v>63818</v>
      </c>
      <c r="F18" s="130">
        <f>E18-'P&amp;L (Old)'!G18</f>
        <v>45943</v>
      </c>
      <c r="G18" s="130">
        <f>F18-'P&amp;L (Old)'!H18</f>
        <v>28068</v>
      </c>
      <c r="H18" s="130">
        <f>G18-'P&amp;L (Old)'!I18</f>
        <v>10193</v>
      </c>
      <c r="I18" s="130">
        <f>H18-'P&amp;L (Old)'!J18</f>
        <v>-7682</v>
      </c>
      <c r="J18" s="130" t="e">
        <f>I18-'P&amp;L (Old)'!#REF!</f>
        <v>#REF!</v>
      </c>
    </row>
    <row r="19" spans="1:10" x14ac:dyDescent="0.3">
      <c r="A19" s="44" t="s">
        <v>335</v>
      </c>
      <c r="B19" s="44"/>
      <c r="C19" s="241"/>
      <c r="D19" s="239">
        <v>10325.42</v>
      </c>
      <c r="E19" s="239">
        <v>9026.06</v>
      </c>
      <c r="F19" s="130">
        <f>E19-1299</f>
        <v>7727.0599999999995</v>
      </c>
      <c r="G19" s="130">
        <f>F19-1299</f>
        <v>6428.0599999999995</v>
      </c>
      <c r="H19" s="130">
        <f>G19-1299</f>
        <v>5129.0599999999995</v>
      </c>
      <c r="I19" s="130">
        <f>H19-1299</f>
        <v>3830.0599999999995</v>
      </c>
      <c r="J19" s="130">
        <f>I19-1299</f>
        <v>2531.0599999999995</v>
      </c>
    </row>
    <row r="20" spans="1:10" x14ac:dyDescent="0.3">
      <c r="A20" s="44" t="s">
        <v>336</v>
      </c>
      <c r="B20" s="44"/>
      <c r="C20" s="241"/>
      <c r="D20" s="239">
        <f>6159.03-123.75</f>
        <v>6035.28</v>
      </c>
      <c r="E20" s="239">
        <v>12663</v>
      </c>
      <c r="F20" s="130">
        <f>E20-(12663/10)</f>
        <v>11396.7</v>
      </c>
      <c r="G20" s="130">
        <f>F20-(12663/5)</f>
        <v>8864.1</v>
      </c>
      <c r="H20" s="130">
        <f>G20-(12663/5)</f>
        <v>6331.5</v>
      </c>
      <c r="I20" s="130">
        <f>H20-(12663/5)</f>
        <v>3798.9</v>
      </c>
      <c r="J20" s="130">
        <f>I20-(12663/5)</f>
        <v>1266.3000000000002</v>
      </c>
    </row>
    <row r="21" spans="1:10" x14ac:dyDescent="0.3">
      <c r="A21" s="44" t="s">
        <v>337</v>
      </c>
      <c r="B21" s="44"/>
      <c r="C21" s="241"/>
      <c r="D21" s="239">
        <v>15332</v>
      </c>
      <c r="E21" s="239">
        <v>12988</v>
      </c>
      <c r="F21" s="130">
        <f>E21-2344</f>
        <v>10644</v>
      </c>
      <c r="G21" s="130">
        <f>F21-2344</f>
        <v>8300</v>
      </c>
      <c r="H21" s="130">
        <f>G21-2344</f>
        <v>5956</v>
      </c>
      <c r="I21" s="130">
        <f>H21-2344</f>
        <v>3612</v>
      </c>
      <c r="J21" s="130">
        <f>I21-2344</f>
        <v>1268</v>
      </c>
    </row>
    <row r="22" spans="1:10" x14ac:dyDescent="0.3">
      <c r="A22" s="44" t="s">
        <v>338</v>
      </c>
      <c r="B22" s="44"/>
      <c r="C22" s="241"/>
      <c r="D22" s="239">
        <f>9035.46-903.55</f>
        <v>8131.9099999999989</v>
      </c>
      <c r="E22" s="239">
        <v>7733.89</v>
      </c>
      <c r="F22" s="130">
        <f>E22-398</f>
        <v>7335.89</v>
      </c>
      <c r="G22" s="130">
        <f>F22-398</f>
        <v>6937.89</v>
      </c>
      <c r="H22" s="130">
        <f>G22-398</f>
        <v>6539.89</v>
      </c>
      <c r="I22" s="130">
        <f>H22-398</f>
        <v>6141.89</v>
      </c>
      <c r="J22" s="130">
        <f>I22-398</f>
        <v>5743.89</v>
      </c>
    </row>
    <row r="23" spans="1:10" x14ac:dyDescent="0.3">
      <c r="A23" s="44" t="s">
        <v>87</v>
      </c>
      <c r="B23" s="44"/>
      <c r="C23" s="241"/>
      <c r="D23" s="239">
        <v>4613</v>
      </c>
      <c r="E23" s="239">
        <v>12717</v>
      </c>
      <c r="F23" s="130">
        <f>E23-618</f>
        <v>12099</v>
      </c>
      <c r="G23" s="130">
        <f>F23-618</f>
        <v>11481</v>
      </c>
      <c r="H23" s="130">
        <f>G23-618</f>
        <v>10863</v>
      </c>
      <c r="I23" s="130">
        <f>H23-618</f>
        <v>10245</v>
      </c>
      <c r="J23" s="130">
        <f>I23-618</f>
        <v>9627</v>
      </c>
    </row>
    <row r="24" spans="1:10" x14ac:dyDescent="0.3">
      <c r="A24" s="44" t="s">
        <v>339</v>
      </c>
      <c r="B24" s="44"/>
      <c r="C24" s="241"/>
      <c r="D24" s="239">
        <f>3533.19-162.31</f>
        <v>3370.88</v>
      </c>
      <c r="E24" s="239">
        <f>3533.19-162.31</f>
        <v>3370.88</v>
      </c>
      <c r="F24" s="130">
        <f>E24-(3371/5)</f>
        <v>2696.6800000000003</v>
      </c>
      <c r="G24" s="130">
        <f>F24-(3371/5)</f>
        <v>2022.4800000000002</v>
      </c>
      <c r="H24" s="130">
        <f>G24-(3371/5)</f>
        <v>1348.2800000000002</v>
      </c>
      <c r="I24" s="130">
        <f>H24-(3371/5)</f>
        <v>674.08000000000015</v>
      </c>
      <c r="J24" s="130">
        <f>I24-(3371/5)</f>
        <v>-0.11999999999989086</v>
      </c>
    </row>
    <row r="25" spans="1:10" s="9" customFormat="1" x14ac:dyDescent="0.3">
      <c r="A25" s="142" t="s">
        <v>340</v>
      </c>
      <c r="B25" s="142"/>
      <c r="C25" s="256"/>
      <c r="D25" s="257">
        <f>SUM(D18:D24)</f>
        <v>97791.35</v>
      </c>
      <c r="E25" s="257">
        <f>SUM(E18:E24)</f>
        <v>122316.83</v>
      </c>
      <c r="F25" s="258">
        <f>SUM(F17:F24)</f>
        <v>497842.33</v>
      </c>
      <c r="G25" s="258">
        <f>SUM(G17:G24)</f>
        <v>445434.86333333328</v>
      </c>
      <c r="H25" s="258">
        <f>SUM(H17:H24)</f>
        <v>393027.39666666667</v>
      </c>
      <c r="I25" s="258">
        <f>SUM(I17:I24)</f>
        <v>340619.93</v>
      </c>
      <c r="J25" s="258" t="e">
        <f>SUM(J17:J24)</f>
        <v>#REF!</v>
      </c>
    </row>
    <row r="26" spans="1:10" x14ac:dyDescent="0.3">
      <c r="A26" s="44"/>
      <c r="B26" s="44"/>
      <c r="C26" s="241"/>
      <c r="D26" s="239"/>
      <c r="E26" s="239"/>
      <c r="F26" s="44"/>
      <c r="G26" s="44"/>
      <c r="H26" s="44"/>
      <c r="I26" s="44"/>
      <c r="J26" s="44"/>
    </row>
    <row r="27" spans="1:10" x14ac:dyDescent="0.3">
      <c r="A27" s="242" t="s">
        <v>88</v>
      </c>
      <c r="B27" s="44"/>
      <c r="C27" s="241"/>
      <c r="D27" s="239"/>
      <c r="E27" s="239"/>
      <c r="F27" s="44"/>
      <c r="G27" s="44"/>
      <c r="H27" s="44"/>
      <c r="I27" s="44"/>
      <c r="J27" s="44"/>
    </row>
    <row r="28" spans="1:10" x14ac:dyDescent="0.3">
      <c r="A28" s="44" t="s">
        <v>89</v>
      </c>
      <c r="B28" s="44"/>
      <c r="C28" s="241"/>
      <c r="D28" s="239">
        <v>2000</v>
      </c>
      <c r="E28" s="239">
        <v>2000</v>
      </c>
      <c r="F28" s="243">
        <f>E28</f>
        <v>2000</v>
      </c>
      <c r="G28" s="243">
        <f>F28</f>
        <v>2000</v>
      </c>
      <c r="H28" s="243">
        <f>G28</f>
        <v>2000</v>
      </c>
      <c r="I28" s="243">
        <f>H28</f>
        <v>2000</v>
      </c>
      <c r="J28" s="243">
        <f>I28</f>
        <v>2000</v>
      </c>
    </row>
    <row r="29" spans="1:10" x14ac:dyDescent="0.3">
      <c r="A29" s="44" t="s">
        <v>341</v>
      </c>
      <c r="B29" s="44"/>
      <c r="C29" s="241"/>
      <c r="D29" s="239">
        <v>9333</v>
      </c>
      <c r="E29" s="239">
        <v>14333</v>
      </c>
      <c r="F29" s="244">
        <f>'P&amp;L (Old)'!G40</f>
        <v>20401.822</v>
      </c>
      <c r="G29" s="244">
        <f>'P&amp;L (Old)'!H40</f>
        <v>26165.323369506074</v>
      </c>
      <c r="H29" s="244">
        <f>'P&amp;L (Old)'!I40</f>
        <v>30412.104507546559</v>
      </c>
      <c r="I29" s="244">
        <f>'P&amp;L (Old)'!J40</f>
        <v>34998.628136630286</v>
      </c>
      <c r="J29" s="244" t="e">
        <f>'P&amp;L (Old)'!#REF!</f>
        <v>#REF!</v>
      </c>
    </row>
    <row r="30" spans="1:10" s="9" customFormat="1" x14ac:dyDescent="0.3">
      <c r="A30" s="142" t="s">
        <v>90</v>
      </c>
      <c r="B30" s="142"/>
      <c r="C30" s="256"/>
      <c r="D30" s="257">
        <f t="shared" ref="D30:J30" si="1">SUM(D28:D29)</f>
        <v>11333</v>
      </c>
      <c r="E30" s="257">
        <f t="shared" si="1"/>
        <v>16333</v>
      </c>
      <c r="F30" s="258">
        <f t="shared" si="1"/>
        <v>22401.822</v>
      </c>
      <c r="G30" s="258">
        <f t="shared" si="1"/>
        <v>28165.323369506074</v>
      </c>
      <c r="H30" s="258">
        <f t="shared" si="1"/>
        <v>32412.104507546559</v>
      </c>
      <c r="I30" s="258">
        <f t="shared" si="1"/>
        <v>36998.628136630286</v>
      </c>
      <c r="J30" s="258" t="e">
        <f t="shared" si="1"/>
        <v>#REF!</v>
      </c>
    </row>
    <row r="31" spans="1:10" x14ac:dyDescent="0.3">
      <c r="A31" s="44"/>
      <c r="B31" s="44"/>
      <c r="C31" s="241"/>
      <c r="D31" s="239"/>
      <c r="E31" s="239"/>
      <c r="F31" s="44"/>
      <c r="G31" s="44"/>
      <c r="H31" s="44"/>
      <c r="I31" s="44"/>
      <c r="J31" s="44"/>
    </row>
    <row r="32" spans="1:10" s="9" customFormat="1" x14ac:dyDescent="0.3">
      <c r="A32" s="259" t="s">
        <v>6</v>
      </c>
      <c r="B32" s="142"/>
      <c r="C32" s="256"/>
      <c r="D32" s="257">
        <f t="shared" ref="D32:J32" si="2">SUM(D14+D25+D30)</f>
        <v>423233.29000000004</v>
      </c>
      <c r="E32" s="257">
        <f t="shared" si="2"/>
        <v>873344.83</v>
      </c>
      <c r="F32" s="258">
        <f t="shared" si="2"/>
        <v>1494561.7649999999</v>
      </c>
      <c r="G32" s="258">
        <f t="shared" si="2"/>
        <v>1628205.7981135761</v>
      </c>
      <c r="H32" s="258">
        <f t="shared" si="2"/>
        <v>2147560.61326718</v>
      </c>
      <c r="I32" s="258">
        <f t="shared" si="2"/>
        <v>2884208.2338458244</v>
      </c>
      <c r="J32" s="258" t="e">
        <f t="shared" si="2"/>
        <v>#REF!</v>
      </c>
    </row>
    <row r="33" spans="1:10" x14ac:dyDescent="0.3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x14ac:dyDescent="0.3">
      <c r="A34" s="245" t="s">
        <v>342</v>
      </c>
      <c r="B34" s="148"/>
      <c r="C34" s="44"/>
      <c r="D34" s="148"/>
      <c r="E34" s="148"/>
      <c r="F34" s="44"/>
      <c r="G34" s="44"/>
      <c r="H34" s="44"/>
      <c r="I34" s="44"/>
      <c r="J34" s="44"/>
    </row>
    <row r="35" spans="1:10" x14ac:dyDescent="0.3">
      <c r="A35" s="44"/>
      <c r="B35" s="44"/>
      <c r="C35" s="44"/>
      <c r="D35" s="130"/>
      <c r="E35" s="130"/>
      <c r="F35" s="44"/>
      <c r="G35" s="44"/>
      <c r="H35" s="44"/>
      <c r="I35" s="44"/>
      <c r="J35" s="44"/>
    </row>
    <row r="36" spans="1:10" x14ac:dyDescent="0.3">
      <c r="A36" s="242" t="s">
        <v>85</v>
      </c>
      <c r="B36" s="242"/>
      <c r="C36" s="44"/>
      <c r="D36" s="130"/>
      <c r="E36" s="130"/>
      <c r="F36" s="44"/>
      <c r="G36" s="44"/>
      <c r="H36" s="44"/>
      <c r="I36" s="44"/>
      <c r="J36" s="44"/>
    </row>
    <row r="37" spans="1:10" x14ac:dyDescent="0.3">
      <c r="A37" s="44" t="s">
        <v>343</v>
      </c>
      <c r="B37" s="246"/>
      <c r="C37" s="44"/>
      <c r="D37" s="130">
        <v>31284</v>
      </c>
      <c r="E37" s="130">
        <v>44712.59</v>
      </c>
      <c r="F37" s="130">
        <f>'P&amp;L (Old)'!G11*F73</f>
        <v>89955.161053231219</v>
      </c>
      <c r="G37" s="130">
        <f>'P&amp;L (Old)'!H11*G73</f>
        <v>109446.97120581652</v>
      </c>
      <c r="H37" s="130">
        <f>'P&amp;L (Old)'!I11*H73</f>
        <v>121842.23730601303</v>
      </c>
      <c r="I37" s="130" t="e">
        <f>'P&amp;L (Old)'!J11*I73</f>
        <v>#REF!</v>
      </c>
      <c r="J37" s="130" t="e">
        <f>'P&amp;L (Old)'!#REF!*J73</f>
        <v>#REF!</v>
      </c>
    </row>
    <row r="38" spans="1:10" x14ac:dyDescent="0.3">
      <c r="A38" s="44" t="s">
        <v>91</v>
      </c>
      <c r="B38" s="246"/>
      <c r="C38" s="44"/>
      <c r="D38" s="130">
        <v>14125</v>
      </c>
      <c r="E38" s="130">
        <v>14180</v>
      </c>
      <c r="F38" s="130">
        <f>E38</f>
        <v>14180</v>
      </c>
      <c r="G38" s="130">
        <f>F38</f>
        <v>14180</v>
      </c>
      <c r="H38" s="130">
        <f>G38</f>
        <v>14180</v>
      </c>
      <c r="I38" s="130">
        <f>H38</f>
        <v>14180</v>
      </c>
      <c r="J38" s="130">
        <f>I38</f>
        <v>14180</v>
      </c>
    </row>
    <row r="39" spans="1:10" x14ac:dyDescent="0.3">
      <c r="A39" s="44" t="s">
        <v>344</v>
      </c>
      <c r="B39" s="246"/>
      <c r="C39" s="44"/>
      <c r="D39" s="130">
        <v>6661.58</v>
      </c>
      <c r="E39" s="130">
        <v>36418</v>
      </c>
      <c r="F39" s="130" t="e">
        <f>LOANS!F19+LOANS!#REF!</f>
        <v>#REF!</v>
      </c>
      <c r="G39" s="130" t="e">
        <f>LOANS!#REF!</f>
        <v>#REF!</v>
      </c>
      <c r="H39" s="130">
        <v>0</v>
      </c>
      <c r="I39" s="130">
        <v>0</v>
      </c>
      <c r="J39" s="130">
        <v>0</v>
      </c>
    </row>
    <row r="40" spans="1:10" x14ac:dyDescent="0.3">
      <c r="A40" s="44" t="s">
        <v>345</v>
      </c>
      <c r="B40" s="246"/>
      <c r="C40" s="44"/>
      <c r="D40" s="130"/>
      <c r="E40" s="130"/>
      <c r="F40" s="130" t="e">
        <f>LOANS!#REF!</f>
        <v>#REF!</v>
      </c>
      <c r="G40" s="130" t="e">
        <f>F40</f>
        <v>#REF!</v>
      </c>
      <c r="H40" s="130" t="e">
        <f>G40</f>
        <v>#REF!</v>
      </c>
      <c r="I40" s="130" t="e">
        <f>H40</f>
        <v>#REF!</v>
      </c>
      <c r="J40" s="130" t="e">
        <f>I40</f>
        <v>#REF!</v>
      </c>
    </row>
    <row r="41" spans="1:10" x14ac:dyDescent="0.3">
      <c r="A41" s="44" t="s">
        <v>92</v>
      </c>
      <c r="B41" s="246"/>
      <c r="C41" s="44"/>
      <c r="D41" s="130">
        <v>0</v>
      </c>
      <c r="E41" s="130">
        <v>11565</v>
      </c>
      <c r="F41" s="130">
        <f>LEASING!F135</f>
        <v>15428.803814722551</v>
      </c>
      <c r="G41" s="130">
        <f t="shared" ref="G41:J43" si="3">F41</f>
        <v>15428.803814722551</v>
      </c>
      <c r="H41" s="130">
        <f t="shared" si="3"/>
        <v>15428.803814722551</v>
      </c>
      <c r="I41" s="130">
        <f t="shared" si="3"/>
        <v>15428.803814722551</v>
      </c>
      <c r="J41" s="130">
        <f t="shared" si="3"/>
        <v>15428.803814722551</v>
      </c>
    </row>
    <row r="42" spans="1:10" x14ac:dyDescent="0.3">
      <c r="A42" s="44" t="s">
        <v>55</v>
      </c>
      <c r="B42" s="148"/>
      <c r="C42" s="44"/>
      <c r="D42" s="130">
        <v>1728.89</v>
      </c>
      <c r="E42" s="130">
        <v>1734.77</v>
      </c>
      <c r="F42" s="130">
        <f>E42</f>
        <v>1734.77</v>
      </c>
      <c r="G42" s="130">
        <f t="shared" si="3"/>
        <v>1734.77</v>
      </c>
      <c r="H42" s="130">
        <f t="shared" si="3"/>
        <v>1734.77</v>
      </c>
      <c r="I42" s="130">
        <f t="shared" si="3"/>
        <v>1734.77</v>
      </c>
      <c r="J42" s="130">
        <f t="shared" si="3"/>
        <v>1734.77</v>
      </c>
    </row>
    <row r="43" spans="1:10" x14ac:dyDescent="0.3">
      <c r="A43" s="44" t="s">
        <v>56</v>
      </c>
      <c r="B43" s="148"/>
      <c r="C43" s="44"/>
      <c r="D43" s="130">
        <v>554.91999999999996</v>
      </c>
      <c r="E43" s="130">
        <v>1619.08</v>
      </c>
      <c r="F43" s="130">
        <f>E43</f>
        <v>1619.08</v>
      </c>
      <c r="G43" s="130">
        <f t="shared" si="3"/>
        <v>1619.08</v>
      </c>
      <c r="H43" s="130">
        <f t="shared" si="3"/>
        <v>1619.08</v>
      </c>
      <c r="I43" s="130">
        <f t="shared" si="3"/>
        <v>1619.08</v>
      </c>
      <c r="J43" s="130">
        <f t="shared" si="3"/>
        <v>1619.08</v>
      </c>
    </row>
    <row r="44" spans="1:10" x14ac:dyDescent="0.3">
      <c r="A44" s="44" t="s">
        <v>346</v>
      </c>
      <c r="B44" s="148"/>
      <c r="C44" s="44"/>
      <c r="D44" s="130">
        <v>9333</v>
      </c>
      <c r="E44" s="130">
        <v>14333</v>
      </c>
      <c r="F44" s="118">
        <f>'P&amp;L (Old)'!G40</f>
        <v>20401.822</v>
      </c>
      <c r="G44" s="118">
        <f>'P&amp;L (Old)'!H40</f>
        <v>26165.323369506074</v>
      </c>
      <c r="H44" s="118">
        <f>'P&amp;L (Old)'!I40</f>
        <v>30412.104507546559</v>
      </c>
      <c r="I44" s="118">
        <f>'P&amp;L (Old)'!J40</f>
        <v>34998.628136630286</v>
      </c>
      <c r="J44" s="118" t="e">
        <f>'P&amp;L (Old)'!#REF!</f>
        <v>#REF!</v>
      </c>
    </row>
    <row r="45" spans="1:10" s="9" customFormat="1" x14ac:dyDescent="0.3">
      <c r="A45" s="142" t="s">
        <v>93</v>
      </c>
      <c r="B45" s="142"/>
      <c r="C45" s="142"/>
      <c r="D45" s="260">
        <f t="shared" ref="D45:J45" si="4">SUM(D37:D44)</f>
        <v>63687.39</v>
      </c>
      <c r="E45" s="260">
        <f t="shared" si="4"/>
        <v>124562.44</v>
      </c>
      <c r="F45" s="260" t="e">
        <f t="shared" si="4"/>
        <v>#REF!</v>
      </c>
      <c r="G45" s="260" t="e">
        <f t="shared" si="4"/>
        <v>#REF!</v>
      </c>
      <c r="H45" s="260" t="e">
        <f t="shared" si="4"/>
        <v>#REF!</v>
      </c>
      <c r="I45" s="260" t="e">
        <f t="shared" si="4"/>
        <v>#REF!</v>
      </c>
      <c r="J45" s="260" t="e">
        <f t="shared" si="4"/>
        <v>#REF!</v>
      </c>
    </row>
    <row r="46" spans="1:10" x14ac:dyDescent="0.3">
      <c r="A46" s="44"/>
      <c r="B46" s="44"/>
      <c r="C46" s="44"/>
      <c r="D46" s="130"/>
      <c r="E46" s="247"/>
      <c r="F46" s="247"/>
      <c r="G46" s="247"/>
      <c r="H46" s="247"/>
      <c r="I46" s="247"/>
      <c r="J46" s="247"/>
    </row>
    <row r="47" spans="1:10" x14ac:dyDescent="0.3">
      <c r="A47" s="242" t="s">
        <v>94</v>
      </c>
      <c r="B47" s="44"/>
      <c r="C47" s="44"/>
      <c r="D47" s="130"/>
      <c r="E47" s="130"/>
      <c r="F47" s="44"/>
      <c r="G47" s="44"/>
      <c r="H47" s="44"/>
      <c r="I47" s="44"/>
      <c r="J47" s="44"/>
    </row>
    <row r="48" spans="1:10" x14ac:dyDescent="0.3">
      <c r="A48" s="44" t="s">
        <v>347</v>
      </c>
      <c r="B48" s="44"/>
      <c r="C48" s="44"/>
      <c r="D48" s="130">
        <v>53292.67</v>
      </c>
      <c r="E48" s="130">
        <v>72212</v>
      </c>
      <c r="F48" s="130" t="e">
        <f>LOANS!G19+LOANS!#REF!</f>
        <v>#REF!</v>
      </c>
      <c r="G48" s="130">
        <v>0</v>
      </c>
      <c r="H48" s="130">
        <v>0</v>
      </c>
      <c r="I48" s="130">
        <v>0</v>
      </c>
      <c r="J48" s="130">
        <v>0</v>
      </c>
    </row>
    <row r="49" spans="1:10" x14ac:dyDescent="0.3">
      <c r="A49" s="44" t="s">
        <v>95</v>
      </c>
      <c r="B49" s="44"/>
      <c r="C49" s="44"/>
      <c r="D49" s="130">
        <v>0</v>
      </c>
      <c r="E49" s="130">
        <v>52005</v>
      </c>
      <c r="F49" s="130">
        <f>LEASING!G135</f>
        <v>48801.550185267915</v>
      </c>
      <c r="G49" s="130">
        <f>LEASING!G136</f>
        <v>38301.702939257426</v>
      </c>
      <c r="H49" s="130">
        <f>LEASING!G137</f>
        <v>26741.371121399876</v>
      </c>
      <c r="I49" s="130">
        <f>LEASING!G138</f>
        <v>14013.445789938713</v>
      </c>
      <c r="J49" s="130">
        <v>0</v>
      </c>
    </row>
    <row r="50" spans="1:10" x14ac:dyDescent="0.3">
      <c r="A50" s="44" t="s">
        <v>96</v>
      </c>
      <c r="B50" s="44"/>
      <c r="C50" s="44"/>
      <c r="D50" s="130">
        <v>0</v>
      </c>
      <c r="E50" s="130">
        <v>54009</v>
      </c>
      <c r="F50" s="130">
        <f>E50-F38</f>
        <v>39829</v>
      </c>
      <c r="G50" s="130">
        <f>F50-G38</f>
        <v>25649</v>
      </c>
      <c r="H50" s="130">
        <f>G50-H38</f>
        <v>11469</v>
      </c>
      <c r="I50" s="130">
        <v>0</v>
      </c>
      <c r="J50" s="130">
        <v>0</v>
      </c>
    </row>
    <row r="51" spans="1:10" x14ac:dyDescent="0.3">
      <c r="A51" s="44" t="s">
        <v>345</v>
      </c>
      <c r="B51" s="44"/>
      <c r="C51" s="44"/>
      <c r="D51" s="130"/>
      <c r="E51" s="130"/>
      <c r="F51" s="130" t="e">
        <f>LOANS!#REF!</f>
        <v>#REF!</v>
      </c>
      <c r="G51" s="130" t="e">
        <f>LOANS!#REF!</f>
        <v>#REF!</v>
      </c>
      <c r="H51" s="130" t="e">
        <f>LOANS!#REF!</f>
        <v>#REF!</v>
      </c>
      <c r="I51" s="130" t="e">
        <f>LOANS!#REF!</f>
        <v>#REF!</v>
      </c>
      <c r="J51" s="130" t="e">
        <f>LOANS!#REF!</f>
        <v>#REF!</v>
      </c>
    </row>
    <row r="52" spans="1:10" s="9" customFormat="1" x14ac:dyDescent="0.3">
      <c r="A52" s="142" t="s">
        <v>348</v>
      </c>
      <c r="B52" s="142"/>
      <c r="C52" s="142"/>
      <c r="D52" s="260">
        <f t="shared" ref="D52:J52" si="5">SUM(D48:D50)</f>
        <v>53292.67</v>
      </c>
      <c r="E52" s="260">
        <f t="shared" si="5"/>
        <v>178226</v>
      </c>
      <c r="F52" s="260" t="e">
        <f>SUM(F48:F51)</f>
        <v>#REF!</v>
      </c>
      <c r="G52" s="260">
        <f t="shared" si="5"/>
        <v>63950.702939257426</v>
      </c>
      <c r="H52" s="260">
        <f t="shared" si="5"/>
        <v>38210.371121399876</v>
      </c>
      <c r="I52" s="260">
        <f t="shared" si="5"/>
        <v>14013.445789938713</v>
      </c>
      <c r="J52" s="260">
        <f t="shared" si="5"/>
        <v>0</v>
      </c>
    </row>
    <row r="53" spans="1:10" x14ac:dyDescent="0.3">
      <c r="A53" s="44"/>
      <c r="B53" s="44"/>
      <c r="C53" s="44"/>
      <c r="D53" s="248"/>
      <c r="E53" s="248"/>
      <c r="F53" s="44"/>
      <c r="G53" s="44"/>
      <c r="H53" s="44"/>
      <c r="I53" s="44"/>
      <c r="J53" s="44"/>
    </row>
    <row r="54" spans="1:10" s="9" customFormat="1" x14ac:dyDescent="0.3">
      <c r="A54" s="142" t="s">
        <v>14</v>
      </c>
      <c r="B54" s="142"/>
      <c r="C54" s="142"/>
      <c r="D54" s="260">
        <f t="shared" ref="D54:J54" si="6">D52+D45</f>
        <v>116980.06</v>
      </c>
      <c r="E54" s="260">
        <f t="shared" si="6"/>
        <v>302788.44</v>
      </c>
      <c r="F54" s="260" t="e">
        <f t="shared" si="6"/>
        <v>#REF!</v>
      </c>
      <c r="G54" s="260" t="e">
        <f t="shared" si="6"/>
        <v>#REF!</v>
      </c>
      <c r="H54" s="260" t="e">
        <f t="shared" si="6"/>
        <v>#REF!</v>
      </c>
      <c r="I54" s="260" t="e">
        <f t="shared" si="6"/>
        <v>#REF!</v>
      </c>
      <c r="J54" s="260" t="e">
        <f t="shared" si="6"/>
        <v>#REF!</v>
      </c>
    </row>
    <row r="55" spans="1:10" x14ac:dyDescent="0.3">
      <c r="A55" s="44"/>
      <c r="B55" s="44"/>
      <c r="C55" s="44"/>
      <c r="D55" s="130"/>
      <c r="E55" s="249"/>
      <c r="F55" s="44"/>
      <c r="G55" s="44"/>
      <c r="H55" s="44"/>
      <c r="I55" s="44"/>
      <c r="J55" s="44"/>
    </row>
    <row r="56" spans="1:10" x14ac:dyDescent="0.3">
      <c r="A56" s="44"/>
      <c r="B56" s="44"/>
      <c r="C56" s="44"/>
      <c r="D56" s="130"/>
      <c r="E56" s="130"/>
      <c r="F56" s="44"/>
      <c r="G56" s="44"/>
      <c r="H56" s="44"/>
      <c r="I56" s="44"/>
      <c r="J56" s="44"/>
    </row>
    <row r="57" spans="1:10" x14ac:dyDescent="0.3">
      <c r="A57" s="242" t="s">
        <v>349</v>
      </c>
      <c r="B57" s="242"/>
      <c r="C57" s="44"/>
      <c r="D57" s="130"/>
      <c r="E57" s="130" t="s">
        <v>103</v>
      </c>
      <c r="F57" s="44">
        <v>350000</v>
      </c>
      <c r="G57" s="44"/>
      <c r="H57" s="44"/>
      <c r="I57" s="44"/>
      <c r="J57" s="44"/>
    </row>
    <row r="58" spans="1:10" x14ac:dyDescent="0.3">
      <c r="A58" s="44" t="s">
        <v>97</v>
      </c>
      <c r="B58" s="246"/>
      <c r="C58" s="44"/>
      <c r="D58" s="130">
        <v>10000</v>
      </c>
      <c r="E58" s="130">
        <v>10000</v>
      </c>
      <c r="F58" s="130">
        <f>E58+F57</f>
        <v>360000</v>
      </c>
      <c r="G58" s="130">
        <f t="shared" ref="G58:J59" si="7">F58</f>
        <v>360000</v>
      </c>
      <c r="H58" s="130">
        <f t="shared" si="7"/>
        <v>360000</v>
      </c>
      <c r="I58" s="130">
        <f t="shared" si="7"/>
        <v>360000</v>
      </c>
      <c r="J58" s="130">
        <f t="shared" si="7"/>
        <v>360000</v>
      </c>
    </row>
    <row r="59" spans="1:10" x14ac:dyDescent="0.3">
      <c r="A59" s="44" t="s">
        <v>100</v>
      </c>
      <c r="B59" s="246"/>
      <c r="C59" s="44"/>
      <c r="D59" s="130">
        <v>57111</v>
      </c>
      <c r="E59" s="130">
        <v>57111</v>
      </c>
      <c r="F59" s="130">
        <f>E59</f>
        <v>57111</v>
      </c>
      <c r="G59" s="130">
        <f t="shared" si="7"/>
        <v>57111</v>
      </c>
      <c r="H59" s="130">
        <f t="shared" si="7"/>
        <v>57111</v>
      </c>
      <c r="I59" s="130">
        <f t="shared" si="7"/>
        <v>57111</v>
      </c>
      <c r="J59" s="130">
        <f t="shared" si="7"/>
        <v>57111</v>
      </c>
    </row>
    <row r="60" spans="1:10" x14ac:dyDescent="0.3">
      <c r="A60" s="250" t="s">
        <v>350</v>
      </c>
      <c r="B60" s="246"/>
      <c r="C60" s="44"/>
      <c r="D60" s="130">
        <v>89331</v>
      </c>
      <c r="E60" s="130">
        <f>D60+D61</f>
        <v>239142.27</v>
      </c>
      <c r="F60" s="130">
        <f>E60+E61-F57</f>
        <v>153445.27000000002</v>
      </c>
      <c r="G60" s="130" t="e">
        <f>F60+F61</f>
        <v>#REF!</v>
      </c>
      <c r="H60" s="130" t="e">
        <f>G60+G61</f>
        <v>#REF!</v>
      </c>
      <c r="I60" s="130" t="e">
        <f>H60+H61</f>
        <v>#REF!</v>
      </c>
      <c r="J60" s="130" t="e">
        <f>I60+I61</f>
        <v>#REF!</v>
      </c>
    </row>
    <row r="61" spans="1:10" x14ac:dyDescent="0.3">
      <c r="A61" s="44" t="s">
        <v>351</v>
      </c>
      <c r="B61" s="148"/>
      <c r="C61" s="44"/>
      <c r="D61" s="130">
        <v>149811.26999999999</v>
      </c>
      <c r="E61" s="130">
        <v>264303</v>
      </c>
      <c r="F61" s="130" t="e">
        <f>'P&amp;L (Old)'!G42</f>
        <v>#REF!</v>
      </c>
      <c r="G61" s="130" t="e">
        <f>'P&amp;L (Old)'!H42</f>
        <v>#REF!</v>
      </c>
      <c r="H61" s="130" t="e">
        <f>'P&amp;L (Old)'!I42</f>
        <v>#REF!</v>
      </c>
      <c r="I61" s="130" t="e">
        <f>'P&amp;L (Old)'!J42</f>
        <v>#REF!</v>
      </c>
      <c r="J61" s="130" t="e">
        <f>'P&amp;L (Old)'!#REF!</f>
        <v>#REF!</v>
      </c>
    </row>
    <row r="62" spans="1:10" x14ac:dyDescent="0.3">
      <c r="A62" s="142" t="s">
        <v>352</v>
      </c>
      <c r="B62" s="142"/>
      <c r="C62" s="142"/>
      <c r="D62" s="260">
        <f t="shared" ref="D62:J62" si="8">SUM(D58:D61)</f>
        <v>306253.27</v>
      </c>
      <c r="E62" s="260">
        <f t="shared" si="8"/>
        <v>570556.27</v>
      </c>
      <c r="F62" s="260" t="e">
        <f t="shared" si="8"/>
        <v>#REF!</v>
      </c>
      <c r="G62" s="260" t="e">
        <f t="shared" si="8"/>
        <v>#REF!</v>
      </c>
      <c r="H62" s="260" t="e">
        <f t="shared" si="8"/>
        <v>#REF!</v>
      </c>
      <c r="I62" s="260" t="e">
        <f t="shared" si="8"/>
        <v>#REF!</v>
      </c>
      <c r="J62" s="260" t="e">
        <f t="shared" si="8"/>
        <v>#REF!</v>
      </c>
    </row>
    <row r="63" spans="1:10" x14ac:dyDescent="0.3">
      <c r="A63" s="44"/>
      <c r="B63" s="44"/>
      <c r="C63" s="44"/>
      <c r="D63" s="44"/>
      <c r="E63" s="130"/>
      <c r="F63" s="130"/>
      <c r="G63" s="130"/>
      <c r="H63" s="130"/>
      <c r="I63" s="130"/>
      <c r="J63" s="130"/>
    </row>
    <row r="64" spans="1:10" s="9" customFormat="1" x14ac:dyDescent="0.3">
      <c r="A64" s="259" t="s">
        <v>353</v>
      </c>
      <c r="B64" s="259"/>
      <c r="C64" s="142"/>
      <c r="D64" s="260">
        <f>D62+D54</f>
        <v>423233.33</v>
      </c>
      <c r="E64" s="260">
        <f>E62+E54</f>
        <v>873344.71</v>
      </c>
      <c r="F64" s="260" t="e">
        <f>F54+F62</f>
        <v>#REF!</v>
      </c>
      <c r="G64" s="260" t="e">
        <f>G54+G62</f>
        <v>#REF!</v>
      </c>
      <c r="H64" s="260" t="e">
        <f>H54+H62</f>
        <v>#REF!</v>
      </c>
      <c r="I64" s="260" t="e">
        <f>I54+I62</f>
        <v>#REF!</v>
      </c>
      <c r="J64" s="260" t="e">
        <f>J54+J62</f>
        <v>#REF!</v>
      </c>
    </row>
    <row r="65" spans="1:10" x14ac:dyDescent="0.3">
      <c r="A65" s="44"/>
      <c r="B65" s="44"/>
      <c r="C65" s="44"/>
      <c r="D65" s="44"/>
      <c r="E65" s="44"/>
      <c r="F65" s="130"/>
      <c r="G65" s="130"/>
      <c r="H65" s="130"/>
      <c r="I65" s="130"/>
      <c r="J65" s="130"/>
    </row>
    <row r="66" spans="1:10" x14ac:dyDescent="0.3">
      <c r="A66" s="73"/>
      <c r="B66" s="73"/>
      <c r="C66" s="73"/>
      <c r="D66" s="251">
        <f t="shared" ref="D66:J66" si="9">D32-D64</f>
        <v>-3.9999999979045242E-2</v>
      </c>
      <c r="E66" s="251">
        <f t="shared" si="9"/>
        <v>0.11999999999534339</v>
      </c>
      <c r="F66" s="251" t="e">
        <f t="shared" si="9"/>
        <v>#REF!</v>
      </c>
      <c r="G66" s="251" t="e">
        <f t="shared" si="9"/>
        <v>#REF!</v>
      </c>
      <c r="H66" s="251" t="e">
        <f t="shared" si="9"/>
        <v>#REF!</v>
      </c>
      <c r="I66" s="251" t="e">
        <f t="shared" si="9"/>
        <v>#REF!</v>
      </c>
      <c r="J66" s="251" t="e">
        <f t="shared" si="9"/>
        <v>#REF!</v>
      </c>
    </row>
    <row r="67" spans="1:10" x14ac:dyDescent="0.3">
      <c r="A67" s="73" t="s">
        <v>98</v>
      </c>
      <c r="B67" s="73"/>
      <c r="C67" s="73"/>
      <c r="D67" s="73"/>
      <c r="E67" s="73"/>
      <c r="F67" s="73"/>
      <c r="G67" s="73"/>
      <c r="H67" s="73"/>
      <c r="I67" s="73"/>
      <c r="J67" s="73"/>
    </row>
    <row r="68" spans="1:10" x14ac:dyDescent="0.3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x14ac:dyDescent="0.3">
      <c r="A69" s="44" t="s">
        <v>330</v>
      </c>
      <c r="B69" s="44"/>
      <c r="C69" s="44"/>
      <c r="D69" s="252">
        <f>D11/'P&amp;L (Old)'!$E$9</f>
        <v>5.3412676728706233E-2</v>
      </c>
      <c r="E69" s="252">
        <f>E11/'P&amp;L (Old)'!$F$9</f>
        <v>0.12260574023318777</v>
      </c>
      <c r="F69" s="252">
        <v>0.12</v>
      </c>
      <c r="G69" s="252">
        <v>0.12</v>
      </c>
      <c r="H69" s="252">
        <v>0.13</v>
      </c>
      <c r="I69" s="252">
        <v>0.14000000000000001</v>
      </c>
      <c r="J69" s="252">
        <v>0.14000000000000001</v>
      </c>
    </row>
    <row r="70" spans="1:10" x14ac:dyDescent="0.3">
      <c r="A70" s="44" t="s">
        <v>331</v>
      </c>
      <c r="B70" s="44"/>
      <c r="C70" s="44"/>
      <c r="D70" s="252">
        <f>D12/'P&amp;L (Old)'!$E$9</f>
        <v>7.386952174787656E-2</v>
      </c>
      <c r="E70" s="252">
        <f>E12/'P&amp;L (Old)'!$F$9</f>
        <v>0.16143927111392184</v>
      </c>
      <c r="F70" s="252">
        <v>0.161</v>
      </c>
      <c r="G70" s="252">
        <v>0.161</v>
      </c>
      <c r="H70" s="252">
        <v>0.17499999999999999</v>
      </c>
      <c r="I70" s="252">
        <v>0.18</v>
      </c>
      <c r="J70" s="252">
        <v>0.185</v>
      </c>
    </row>
    <row r="71" spans="1:10" x14ac:dyDescent="0.3">
      <c r="A71" s="44" t="s">
        <v>332</v>
      </c>
      <c r="B71" s="44"/>
      <c r="C71" s="44"/>
      <c r="D71" s="252">
        <f>D13/'P&amp;L (Old)'!$E$9</f>
        <v>0.26315567138143375</v>
      </c>
      <c r="E71" s="252">
        <f>E13/'P&amp;L (Old)'!$F$9</f>
        <v>0.31726341693827387</v>
      </c>
      <c r="F71" s="252">
        <v>0.3</v>
      </c>
      <c r="G71" s="252">
        <v>0.26500000000000001</v>
      </c>
      <c r="H71" s="252">
        <v>0.26500000000000001</v>
      </c>
      <c r="I71" s="252">
        <v>0.26500000000000001</v>
      </c>
      <c r="J71" s="252">
        <v>0.26500000000000001</v>
      </c>
    </row>
    <row r="72" spans="1:10" x14ac:dyDescent="0.3">
      <c r="A72" s="44"/>
      <c r="B72" s="44"/>
      <c r="C72" s="44"/>
      <c r="D72" s="253"/>
      <c r="E72" s="253"/>
      <c r="F72" s="253"/>
      <c r="G72" s="253"/>
      <c r="H72" s="253"/>
      <c r="I72" s="253"/>
      <c r="J72" s="253"/>
    </row>
    <row r="73" spans="1:10" x14ac:dyDescent="0.3">
      <c r="A73" s="44" t="s">
        <v>343</v>
      </c>
      <c r="B73" s="44"/>
      <c r="C73" s="44"/>
      <c r="D73" s="253">
        <f>D37/'P&amp;L (Old)'!E11</f>
        <v>0.11753832281334535</v>
      </c>
      <c r="E73" s="253">
        <f>E37/'P&amp;L (Old)'!F11</f>
        <v>0.1003419867953914</v>
      </c>
      <c r="F73" s="252">
        <v>0.12</v>
      </c>
      <c r="G73" s="252">
        <v>0.13</v>
      </c>
      <c r="H73" s="252">
        <v>0.13</v>
      </c>
      <c r="I73" s="252">
        <v>0.13</v>
      </c>
      <c r="J73" s="252">
        <v>0.13</v>
      </c>
    </row>
    <row r="74" spans="1:10" x14ac:dyDescent="0.3">
      <c r="A74" s="254" t="s">
        <v>102</v>
      </c>
      <c r="B74" s="254"/>
      <c r="C74" s="254"/>
      <c r="D74" s="255">
        <f t="shared" ref="D74:J74" si="10">(D45+D52)/(D58+D59)</f>
        <v>1.7430832501378313</v>
      </c>
      <c r="E74" s="255">
        <f t="shared" si="10"/>
        <v>4.5117557479399801</v>
      </c>
      <c r="F74" s="255" t="e">
        <f t="shared" si="10"/>
        <v>#REF!</v>
      </c>
      <c r="G74" s="255" t="e">
        <f t="shared" si="10"/>
        <v>#REF!</v>
      </c>
      <c r="H74" s="255" t="e">
        <f t="shared" si="10"/>
        <v>#REF!</v>
      </c>
      <c r="I74" s="255" t="e">
        <f t="shared" si="10"/>
        <v>#REF!</v>
      </c>
      <c r="J74" s="255" t="e">
        <f t="shared" si="10"/>
        <v>#REF!</v>
      </c>
    </row>
  </sheetData>
  <mergeCells count="4"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807D-CBC0-43A3-9422-0C5B2B545795}">
  <dimension ref="A1:H46"/>
  <sheetViews>
    <sheetView workbookViewId="0">
      <selection activeCell="C18" sqref="C18"/>
    </sheetView>
  </sheetViews>
  <sheetFormatPr defaultColWidth="9.81640625" defaultRowHeight="15" outlineLevelRow="1" x14ac:dyDescent="0.25"/>
  <cols>
    <col min="1" max="1" width="1" style="5" customWidth="1"/>
    <col min="2" max="2" width="32.6328125" style="5" bestFit="1" customWidth="1"/>
    <col min="3" max="3" width="10.54296875" style="5" bestFit="1" customWidth="1"/>
    <col min="4" max="4" width="10.1796875" style="5" bestFit="1" customWidth="1"/>
    <col min="5" max="7" width="8.26953125" style="5" bestFit="1" customWidth="1"/>
    <col min="8" max="8" width="5.453125" style="5" bestFit="1" customWidth="1"/>
    <col min="9" max="16384" width="9.81640625" style="5"/>
  </cols>
  <sheetData>
    <row r="1" spans="1:8" x14ac:dyDescent="0.25">
      <c r="A1" s="30" t="str">
        <f>Costs!A1:I1</f>
        <v>Company  Suquimsa</v>
      </c>
      <c r="B1" s="32"/>
      <c r="C1" s="32"/>
      <c r="D1" s="31" t="s">
        <v>58</v>
      </c>
      <c r="E1" s="33"/>
      <c r="F1" s="33"/>
      <c r="G1" s="33"/>
      <c r="H1" s="33"/>
    </row>
    <row r="2" spans="1:8" x14ac:dyDescent="0.25">
      <c r="A2" s="30" t="s">
        <v>354</v>
      </c>
      <c r="B2" s="32"/>
      <c r="C2" s="32"/>
      <c r="D2" s="33"/>
      <c r="E2" s="32"/>
      <c r="F2" s="33"/>
      <c r="G2" s="33"/>
      <c r="H2" s="33"/>
    </row>
    <row r="3" spans="1:8" x14ac:dyDescent="0.25">
      <c r="A3" s="30" t="e">
        <f>+#REF!</f>
        <v>#REF!</v>
      </c>
      <c r="B3" s="32"/>
      <c r="C3" s="32"/>
      <c r="D3" s="32"/>
      <c r="E3" s="33"/>
      <c r="F3" s="33"/>
      <c r="G3" s="33"/>
      <c r="H3" s="33"/>
    </row>
    <row r="4" spans="1:8" x14ac:dyDescent="0.25">
      <c r="A4" s="45"/>
      <c r="B4" s="45"/>
      <c r="C4" s="45"/>
      <c r="D4" s="46"/>
      <c r="E4" s="46"/>
      <c r="F4" s="46"/>
      <c r="G4" s="46"/>
      <c r="H4" s="46"/>
    </row>
    <row r="5" spans="1:8" s="6" customFormat="1" ht="13.8" x14ac:dyDescent="0.25">
      <c r="A5" s="331" t="s">
        <v>4</v>
      </c>
      <c r="B5" s="332"/>
      <c r="C5" s="38" t="s">
        <v>278</v>
      </c>
      <c r="D5" s="261" t="s">
        <v>183</v>
      </c>
      <c r="E5" s="46"/>
      <c r="F5" s="46"/>
      <c r="G5" s="46"/>
      <c r="H5" s="46"/>
    </row>
    <row r="6" spans="1:8" s="6" customFormat="1" ht="13.8" x14ac:dyDescent="0.25">
      <c r="A6" s="332"/>
      <c r="B6" s="332"/>
      <c r="C6" s="51">
        <v>2007</v>
      </c>
      <c r="D6" s="51">
        <v>2008</v>
      </c>
      <c r="E6" s="51">
        <f>D6+1</f>
        <v>2009</v>
      </c>
      <c r="F6" s="51">
        <f>E6+1</f>
        <v>2010</v>
      </c>
      <c r="G6" s="51">
        <f>F6+1</f>
        <v>2011</v>
      </c>
      <c r="H6" s="51">
        <f>G6+1</f>
        <v>2012</v>
      </c>
    </row>
    <row r="7" spans="1:8" s="6" customFormat="1" ht="13.8" x14ac:dyDescent="0.25">
      <c r="A7" s="45"/>
      <c r="B7" s="262" t="s">
        <v>220</v>
      </c>
      <c r="C7" s="263"/>
      <c r="D7" s="263"/>
      <c r="E7" s="264"/>
      <c r="F7" s="264"/>
      <c r="G7" s="264"/>
      <c r="H7" s="264"/>
    </row>
    <row r="8" spans="1:8" s="6" customFormat="1" ht="13.8" x14ac:dyDescent="0.25">
      <c r="A8" s="45"/>
      <c r="B8" s="45"/>
      <c r="C8" s="45"/>
      <c r="D8" s="45"/>
      <c r="E8" s="46"/>
      <c r="F8" s="46"/>
      <c r="G8" s="46"/>
      <c r="H8" s="46"/>
    </row>
    <row r="9" spans="1:8" s="6" customFormat="1" ht="13.8" x14ac:dyDescent="0.25">
      <c r="A9" s="45"/>
      <c r="B9" s="58" t="s">
        <v>186</v>
      </c>
      <c r="C9" s="59">
        <f>Revenue!E23</f>
        <v>1415524</v>
      </c>
      <c r="D9" s="59">
        <f>Revenue!F23</f>
        <v>1457273</v>
      </c>
      <c r="E9" s="59">
        <f>Revenue!G23</f>
        <v>1868951.6692504338</v>
      </c>
      <c r="F9" s="59">
        <f>Revenue!H23</f>
        <v>2172293.1791104684</v>
      </c>
      <c r="G9" s="59">
        <f>Revenue!I23</f>
        <v>2499902.009759306</v>
      </c>
      <c r="H9" s="59" t="e">
        <f>Revenue!#REF!</f>
        <v>#REF!</v>
      </c>
    </row>
    <row r="10" spans="1:8" s="6" customFormat="1" ht="13.8" x14ac:dyDescent="0.25">
      <c r="A10" s="45"/>
      <c r="B10" s="45"/>
      <c r="C10" s="63"/>
      <c r="D10" s="63"/>
      <c r="E10" s="46"/>
      <c r="F10" s="46"/>
      <c r="G10" s="46"/>
      <c r="H10" s="46"/>
    </row>
    <row r="11" spans="1:8" s="6" customFormat="1" ht="13.8" x14ac:dyDescent="0.25">
      <c r="A11" s="45"/>
      <c r="B11" s="263" t="s">
        <v>355</v>
      </c>
      <c r="C11" s="264"/>
      <c r="D11" s="264"/>
      <c r="E11" s="264"/>
      <c r="F11" s="264"/>
      <c r="G11" s="264"/>
      <c r="H11" s="264"/>
    </row>
    <row r="12" spans="1:8" s="6" customFormat="1" ht="13.8" x14ac:dyDescent="0.25">
      <c r="A12" s="45"/>
      <c r="B12" s="45"/>
      <c r="C12" s="63"/>
      <c r="D12" s="63"/>
      <c r="E12" s="46"/>
      <c r="F12" s="46"/>
      <c r="G12" s="46"/>
      <c r="H12" s="46"/>
    </row>
    <row r="13" spans="1:8" s="6" customFormat="1" ht="13.8" x14ac:dyDescent="0.25">
      <c r="A13" s="45"/>
      <c r="B13" s="58" t="s">
        <v>187</v>
      </c>
      <c r="C13" s="66">
        <f>'P&amp;L (Old)'!F11</f>
        <v>445602</v>
      </c>
      <c r="D13" s="66">
        <f>'P&amp;L (Old)'!G11</f>
        <v>749626.34211026016</v>
      </c>
      <c r="E13" s="66">
        <f>'P&amp;L (Old)'!H11</f>
        <v>841899.77850628085</v>
      </c>
      <c r="F13" s="66">
        <f>'P&amp;L (Old)'!I11</f>
        <v>937247.97927702335</v>
      </c>
      <c r="G13" s="66" t="e">
        <f>'P&amp;L (Old)'!J11</f>
        <v>#REF!</v>
      </c>
      <c r="H13" s="66" t="e">
        <f>'P&amp;L (Old)'!#REF!</f>
        <v>#REF!</v>
      </c>
    </row>
    <row r="14" spans="1:8" s="6" customFormat="1" ht="13.8" x14ac:dyDescent="0.25">
      <c r="A14" s="45"/>
      <c r="B14" s="45"/>
      <c r="C14" s="63" t="s">
        <v>12</v>
      </c>
      <c r="D14" s="63" t="s">
        <v>12</v>
      </c>
      <c r="E14" s="46"/>
      <c r="F14" s="46"/>
      <c r="G14" s="46"/>
      <c r="H14" s="46"/>
    </row>
    <row r="15" spans="1:8" s="6" customFormat="1" ht="13.8" x14ac:dyDescent="0.25">
      <c r="A15" s="45"/>
      <c r="B15" s="58" t="s">
        <v>189</v>
      </c>
      <c r="C15" s="59" t="e">
        <f t="shared" ref="C15:H15" si="0">SUM(C16:C20)</f>
        <v>#REF!</v>
      </c>
      <c r="D15" s="59" t="e">
        <f t="shared" si="0"/>
        <v>#REF!</v>
      </c>
      <c r="E15" s="59" t="e">
        <f t="shared" si="0"/>
        <v>#REF!</v>
      </c>
      <c r="F15" s="59" t="e">
        <f t="shared" si="0"/>
        <v>#REF!</v>
      </c>
      <c r="G15" s="59" t="e">
        <f t="shared" si="0"/>
        <v>#REF!</v>
      </c>
      <c r="H15" s="59" t="e">
        <f t="shared" si="0"/>
        <v>#REF!</v>
      </c>
    </row>
    <row r="16" spans="1:8" s="6" customFormat="1" ht="13.8" outlineLevel="1" x14ac:dyDescent="0.25">
      <c r="A16" s="45"/>
      <c r="B16" s="68" t="s">
        <v>2</v>
      </c>
      <c r="C16" s="70">
        <f>'P&amp;L (Old)'!F16</f>
        <v>120000</v>
      </c>
      <c r="D16" s="70">
        <f>'P&amp;L (Old)'!G16</f>
        <v>215841.6</v>
      </c>
      <c r="E16" s="70">
        <f>'P&amp;L (Old)'!H16</f>
        <v>226633.68000000002</v>
      </c>
      <c r="F16" s="70">
        <f>'P&amp;L (Old)'!I16</f>
        <v>237965.36400000003</v>
      </c>
      <c r="G16" s="70">
        <f>'P&amp;L (Old)'!J16</f>
        <v>249863.63220000005</v>
      </c>
      <c r="H16" s="70" t="e">
        <f>'P&amp;L (Old)'!#REF!</f>
        <v>#REF!</v>
      </c>
    </row>
    <row r="17" spans="1:8" s="6" customFormat="1" ht="13.8" outlineLevel="1" x14ac:dyDescent="0.25">
      <c r="A17" s="45"/>
      <c r="B17" s="68" t="s">
        <v>190</v>
      </c>
      <c r="C17" s="71">
        <f>'P&amp;L (Old)'!F17</f>
        <v>13238.172999999999</v>
      </c>
      <c r="D17" s="71">
        <f>'P&amp;L (Old)'!G17</f>
        <v>18944.548999999999</v>
      </c>
      <c r="E17" s="71">
        <f>'P&amp;L (Old)'!H17</f>
        <v>24296.371700255637</v>
      </c>
      <c r="F17" s="71">
        <f>'P&amp;L (Old)'!I17</f>
        <v>28239.811328436088</v>
      </c>
      <c r="G17" s="71">
        <f>'P&amp;L (Old)'!J17</f>
        <v>32498.726126870977</v>
      </c>
      <c r="H17" s="71" t="e">
        <f>'P&amp;L (Old)'!#REF!</f>
        <v>#REF!</v>
      </c>
    </row>
    <row r="18" spans="1:8" s="6" customFormat="1" ht="13.8" outlineLevel="1" x14ac:dyDescent="0.25">
      <c r="A18" s="45"/>
      <c r="B18" s="68" t="s">
        <v>192</v>
      </c>
      <c r="C18" s="71" t="e">
        <f>'P&amp;L (Old)'!F19</f>
        <v>#REF!</v>
      </c>
      <c r="D18" s="71" t="e">
        <f>'P&amp;L (Old)'!G19</f>
        <v>#REF!</v>
      </c>
      <c r="E18" s="71" t="e">
        <f>'P&amp;L (Old)'!H19</f>
        <v>#REF!</v>
      </c>
      <c r="F18" s="71" t="e">
        <f>'P&amp;L (Old)'!I19</f>
        <v>#REF!</v>
      </c>
      <c r="G18" s="71" t="e">
        <f>'P&amp;L (Old)'!J19</f>
        <v>#REF!</v>
      </c>
      <c r="H18" s="71" t="e">
        <f>'P&amp;L (Old)'!#REF!</f>
        <v>#REF!</v>
      </c>
    </row>
    <row r="19" spans="1:8" s="6" customFormat="1" ht="13.8" outlineLevel="1" x14ac:dyDescent="0.25">
      <c r="A19" s="45"/>
      <c r="B19" s="68" t="s">
        <v>287</v>
      </c>
      <c r="C19" s="71" t="e">
        <f>'P&amp;L (Old)'!F20</f>
        <v>#REF!</v>
      </c>
      <c r="D19" s="71">
        <f>'P&amp;L (Old)'!G20</f>
        <v>50000</v>
      </c>
      <c r="E19" s="71">
        <f>'P&amp;L (Old)'!H20</f>
        <v>37500</v>
      </c>
      <c r="F19" s="71">
        <f>'P&amp;L (Old)'!I20</f>
        <v>28125</v>
      </c>
      <c r="G19" s="71">
        <f>'P&amp;L (Old)'!J20</f>
        <v>28125</v>
      </c>
      <c r="H19" s="71" t="e">
        <f>'P&amp;L (Old)'!#REF!</f>
        <v>#REF!</v>
      </c>
    </row>
    <row r="20" spans="1:8" s="6" customFormat="1" ht="13.8" outlineLevel="1" x14ac:dyDescent="0.25">
      <c r="A20" s="45"/>
      <c r="B20" s="68" t="s">
        <v>194</v>
      </c>
      <c r="C20" s="71">
        <f>'P&amp;L (Old)'!F21</f>
        <v>678117.82000000007</v>
      </c>
      <c r="D20" s="71">
        <f>'P&amp;L (Old)'!G21</f>
        <v>745929.60200000019</v>
      </c>
      <c r="E20" s="71">
        <f>'P&amp;L (Old)'!H21</f>
        <v>820522.56220000028</v>
      </c>
      <c r="F20" s="71">
        <f>'P&amp;L (Old)'!I21</f>
        <v>902574.81842000037</v>
      </c>
      <c r="G20" s="71">
        <f>'P&amp;L (Old)'!J21</f>
        <v>992832.30026200053</v>
      </c>
      <c r="H20" s="71" t="e">
        <f>'P&amp;L (Old)'!#REF!</f>
        <v>#REF!</v>
      </c>
    </row>
    <row r="21" spans="1:8" s="6" customFormat="1" ht="13.8" x14ac:dyDescent="0.25">
      <c r="A21" s="45"/>
      <c r="B21" s="58" t="s">
        <v>12</v>
      </c>
      <c r="C21" s="51" t="s">
        <v>12</v>
      </c>
      <c r="D21" s="71"/>
      <c r="E21" s="46"/>
      <c r="F21" s="46"/>
      <c r="G21" s="46"/>
      <c r="H21" s="46"/>
    </row>
    <row r="22" spans="1:8" s="6" customFormat="1" ht="13.8" x14ac:dyDescent="0.25">
      <c r="A22" s="45"/>
      <c r="B22" s="58" t="s">
        <v>356</v>
      </c>
      <c r="C22" s="79" t="e">
        <f t="shared" ref="C22:H22" si="1">SUM(C23:C31)</f>
        <v>#REF!</v>
      </c>
      <c r="D22" s="79" t="e">
        <f t="shared" si="1"/>
        <v>#REF!</v>
      </c>
      <c r="E22" s="79" t="e">
        <f t="shared" si="1"/>
        <v>#REF!</v>
      </c>
      <c r="F22" s="79" t="e">
        <f t="shared" si="1"/>
        <v>#REF!</v>
      </c>
      <c r="G22" s="79" t="e">
        <f t="shared" si="1"/>
        <v>#REF!</v>
      </c>
      <c r="H22" s="79" t="e">
        <f t="shared" si="1"/>
        <v>#REF!</v>
      </c>
    </row>
    <row r="23" spans="1:8" s="6" customFormat="1" ht="13.8" outlineLevel="1" x14ac:dyDescent="0.25">
      <c r="A23" s="45"/>
      <c r="B23" s="81" t="s">
        <v>357</v>
      </c>
      <c r="C23" s="265">
        <f>LOANS!F17</f>
        <v>101915.89884208387</v>
      </c>
      <c r="D23" s="265">
        <f>LOANS!F18</f>
        <v>101915.89884208387</v>
      </c>
      <c r="E23" s="265">
        <f>LOANS!F19</f>
        <v>101915.89884208387</v>
      </c>
      <c r="F23" s="265">
        <f>LOANS!F20</f>
        <v>101915.89884208387</v>
      </c>
      <c r="G23" s="46">
        <v>0</v>
      </c>
      <c r="H23" s="46">
        <v>0</v>
      </c>
    </row>
    <row r="24" spans="1:8" s="6" customFormat="1" ht="13.8" outlineLevel="1" x14ac:dyDescent="0.25">
      <c r="A24" s="45"/>
      <c r="B24" s="81" t="s">
        <v>197</v>
      </c>
      <c r="C24" s="265" t="e">
        <f>LOANS!#REF!</f>
        <v>#REF!</v>
      </c>
      <c r="D24" s="265" t="e">
        <f>LOANS!#REF!</f>
        <v>#REF!</v>
      </c>
      <c r="E24" s="265" t="e">
        <f>LOANS!#REF!</f>
        <v>#REF!</v>
      </c>
      <c r="F24" s="265" t="e">
        <f>LOANS!#REF!</f>
        <v>#REF!</v>
      </c>
      <c r="G24" s="46">
        <v>0</v>
      </c>
      <c r="H24" s="46">
        <v>0</v>
      </c>
    </row>
    <row r="25" spans="1:8" s="6" customFormat="1" ht="13.8" outlineLevel="1" x14ac:dyDescent="0.25">
      <c r="A25" s="45"/>
      <c r="B25" s="81" t="s">
        <v>76</v>
      </c>
      <c r="C25" s="265">
        <f>LEASING!F15</f>
        <v>5949.3298373583057</v>
      </c>
      <c r="D25" s="265">
        <f>LEASING!F16</f>
        <v>5949.3298373583057</v>
      </c>
      <c r="E25" s="265">
        <f>LEASING!F17</f>
        <v>5949.3298373583057</v>
      </c>
      <c r="F25" s="265">
        <f>LEASING!F18</f>
        <v>0</v>
      </c>
      <c r="G25" s="46">
        <v>0</v>
      </c>
      <c r="H25" s="46">
        <v>0</v>
      </c>
    </row>
    <row r="26" spans="1:8" s="6" customFormat="1" ht="13.8" outlineLevel="1" x14ac:dyDescent="0.25">
      <c r="A26" s="45"/>
      <c r="B26" s="81" t="s">
        <v>77</v>
      </c>
      <c r="C26" s="265">
        <f>LEASING!F37</f>
        <v>3402.9476833900585</v>
      </c>
      <c r="D26" s="265">
        <f>LEASING!F38</f>
        <v>3402.9476833900585</v>
      </c>
      <c r="E26" s="265">
        <f>LEASING!F39</f>
        <v>3402.9476833900585</v>
      </c>
      <c r="F26" s="265">
        <f>LEASING!F40</f>
        <v>3402.9476833900585</v>
      </c>
      <c r="G26" s="46">
        <v>0</v>
      </c>
      <c r="H26" s="46">
        <v>0</v>
      </c>
    </row>
    <row r="27" spans="1:8" s="6" customFormat="1" ht="13.8" outlineLevel="1" x14ac:dyDescent="0.25">
      <c r="A27" s="45"/>
      <c r="B27" s="81" t="s">
        <v>78</v>
      </c>
      <c r="C27" s="265">
        <f>LEASING!F64</f>
        <v>7567.1042989223815</v>
      </c>
      <c r="D27" s="265">
        <f>LEASING!F65</f>
        <v>7567.1042989223815</v>
      </c>
      <c r="E27" s="265">
        <f>LEASING!F66</f>
        <v>7567.1042989223815</v>
      </c>
      <c r="F27" s="265">
        <f>LEASING!F67</f>
        <v>0</v>
      </c>
      <c r="G27" s="46">
        <v>0</v>
      </c>
      <c r="H27" s="46">
        <v>0</v>
      </c>
    </row>
    <row r="28" spans="1:8" s="6" customFormat="1" ht="13.8" outlineLevel="1" x14ac:dyDescent="0.25">
      <c r="A28" s="45"/>
      <c r="B28" s="81" t="s">
        <v>79</v>
      </c>
      <c r="C28" s="265">
        <f>LEASING!F86</f>
        <v>3902.3854819685002</v>
      </c>
      <c r="D28" s="265">
        <f>LEASING!F87</f>
        <v>3902.3854819685002</v>
      </c>
      <c r="E28" s="265">
        <f>LEASING!F88</f>
        <v>3902.3854819685002</v>
      </c>
      <c r="F28" s="265">
        <f>LEASING!F89</f>
        <v>0</v>
      </c>
      <c r="G28" s="46">
        <v>0</v>
      </c>
      <c r="H28" s="46">
        <v>0</v>
      </c>
    </row>
    <row r="29" spans="1:8" s="6" customFormat="1" ht="13.8" outlineLevel="1" x14ac:dyDescent="0.25">
      <c r="A29" s="45"/>
      <c r="B29" s="81" t="s">
        <v>80</v>
      </c>
      <c r="C29" s="265"/>
      <c r="D29" s="265">
        <f>LEASING!F112</f>
        <v>14127.80423399402</v>
      </c>
      <c r="E29" s="265">
        <f>LEASING!F113</f>
        <v>14127.80423399402</v>
      </c>
      <c r="F29" s="265">
        <f>LEASING!F114</f>
        <v>14127.80423399402</v>
      </c>
      <c r="G29" s="265">
        <f>LEASING!F115</f>
        <v>14127.80423399402</v>
      </c>
      <c r="H29" s="46">
        <v>0</v>
      </c>
    </row>
    <row r="30" spans="1:8" s="6" customFormat="1" ht="13.8" outlineLevel="1" x14ac:dyDescent="0.25">
      <c r="A30" s="45"/>
      <c r="B30" s="81" t="s">
        <v>81</v>
      </c>
      <c r="C30" s="265">
        <f>LEASING!F134</f>
        <v>15428.803814722551</v>
      </c>
      <c r="D30" s="265">
        <f>LEASING!F135</f>
        <v>15428.803814722551</v>
      </c>
      <c r="E30" s="265">
        <f>LEASING!F136</f>
        <v>15428.803814722551</v>
      </c>
      <c r="F30" s="265">
        <f>LEASING!F137</f>
        <v>15428.803814722551</v>
      </c>
      <c r="G30" s="265">
        <f>LEASING!F138</f>
        <v>15428.803814722551</v>
      </c>
      <c r="H30" s="265">
        <f>LEASING!F139</f>
        <v>15428.803814722551</v>
      </c>
    </row>
    <row r="31" spans="1:8" s="6" customFormat="1" ht="13.8" outlineLevel="1" x14ac:dyDescent="0.25">
      <c r="A31" s="45"/>
      <c r="B31" s="46" t="s">
        <v>358</v>
      </c>
      <c r="C31" s="46"/>
      <c r="D31" s="81" t="e">
        <f>LOANS!#REF!*6</f>
        <v>#REF!</v>
      </c>
      <c r="E31" s="81" t="e">
        <f>LOANS!#REF!*12</f>
        <v>#REF!</v>
      </c>
      <c r="F31" s="81" t="e">
        <f>E31</f>
        <v>#REF!</v>
      </c>
      <c r="G31" s="81" t="e">
        <f>F31</f>
        <v>#REF!</v>
      </c>
      <c r="H31" s="81" t="e">
        <f>G31</f>
        <v>#REF!</v>
      </c>
    </row>
    <row r="32" spans="1:8" s="6" customFormat="1" ht="13.8" x14ac:dyDescent="0.25">
      <c r="A32" s="45"/>
      <c r="B32" s="58"/>
      <c r="C32" s="79"/>
      <c r="D32" s="79"/>
      <c r="E32" s="46"/>
      <c r="F32" s="46"/>
      <c r="G32" s="46"/>
      <c r="H32" s="46"/>
    </row>
    <row r="33" spans="1:8" s="6" customFormat="1" ht="13.8" x14ac:dyDescent="0.25">
      <c r="A33" s="45"/>
      <c r="B33" s="58" t="s">
        <v>201</v>
      </c>
      <c r="C33" s="79">
        <f>'P&amp;L (Old)'!F40</f>
        <v>14256.494000000001</v>
      </c>
      <c r="D33" s="79">
        <f>'P&amp;L (Old)'!G40</f>
        <v>20401.822</v>
      </c>
      <c r="E33" s="79">
        <f>'P&amp;L (Old)'!H40</f>
        <v>26165.323369506074</v>
      </c>
      <c r="F33" s="79">
        <f>'P&amp;L (Old)'!I40</f>
        <v>30412.104507546559</v>
      </c>
      <c r="G33" s="79">
        <f>'P&amp;L (Old)'!J40</f>
        <v>34998.628136630286</v>
      </c>
      <c r="H33" s="79" t="e">
        <f>'P&amp;L (Old)'!#REF!</f>
        <v>#REF!</v>
      </c>
    </row>
    <row r="34" spans="1:8" s="6" customFormat="1" ht="13.8" x14ac:dyDescent="0.25">
      <c r="A34" s="45"/>
      <c r="B34" s="58" t="s">
        <v>359</v>
      </c>
      <c r="C34" s="51" t="e">
        <f t="shared" ref="C34:H34" si="2">C9-C13-C15-C22-C33</f>
        <v>#REF!</v>
      </c>
      <c r="D34" s="51" t="e">
        <f t="shared" si="2"/>
        <v>#REF!</v>
      </c>
      <c r="E34" s="51" t="e">
        <f t="shared" si="2"/>
        <v>#REF!</v>
      </c>
      <c r="F34" s="51" t="e">
        <f t="shared" si="2"/>
        <v>#REF!</v>
      </c>
      <c r="G34" s="51" t="e">
        <f t="shared" si="2"/>
        <v>#REF!</v>
      </c>
      <c r="H34" s="51" t="e">
        <f t="shared" si="2"/>
        <v>#REF!</v>
      </c>
    </row>
    <row r="35" spans="1:8" s="6" customFormat="1" ht="13.8" x14ac:dyDescent="0.25">
      <c r="A35" s="45"/>
      <c r="B35" s="45"/>
      <c r="C35" s="45"/>
      <c r="D35" s="44"/>
      <c r="E35" s="46"/>
      <c r="F35" s="46"/>
      <c r="G35" s="46"/>
      <c r="H35" s="46"/>
    </row>
    <row r="36" spans="1:8" s="6" customFormat="1" ht="13.8" x14ac:dyDescent="0.25">
      <c r="A36" s="266"/>
      <c r="B36" s="45"/>
      <c r="C36" s="45"/>
      <c r="D36" s="44"/>
      <c r="E36" s="46"/>
      <c r="F36" s="46"/>
      <c r="G36" s="46"/>
      <c r="H36" s="46"/>
    </row>
    <row r="37" spans="1:8" s="6" customFormat="1" ht="13.8" x14ac:dyDescent="0.25">
      <c r="A37" s="45"/>
      <c r="B37" s="45"/>
      <c r="C37" s="45"/>
      <c r="D37" s="44"/>
      <c r="E37" s="46"/>
      <c r="F37" s="46"/>
      <c r="G37" s="46"/>
      <c r="H37" s="46"/>
    </row>
    <row r="38" spans="1:8" x14ac:dyDescent="0.25">
      <c r="A38" s="45"/>
      <c r="B38" s="45"/>
      <c r="C38" s="83"/>
      <c r="D38" s="44"/>
      <c r="E38" s="46"/>
      <c r="F38" s="46"/>
      <c r="G38" s="46"/>
      <c r="H38" s="46"/>
    </row>
    <row r="39" spans="1:8" x14ac:dyDescent="0.25">
      <c r="A39" s="45"/>
      <c r="B39" s="45"/>
      <c r="C39" s="83"/>
      <c r="D39" s="44"/>
      <c r="E39" s="46"/>
      <c r="F39" s="46"/>
      <c r="G39" s="46"/>
      <c r="H39" s="46"/>
    </row>
    <row r="40" spans="1:8" x14ac:dyDescent="0.25">
      <c r="A40" s="45"/>
      <c r="B40" s="45"/>
      <c r="C40" s="83"/>
      <c r="D40" s="44"/>
      <c r="E40" s="46"/>
      <c r="F40" s="46"/>
      <c r="G40" s="46"/>
      <c r="H40" s="46"/>
    </row>
    <row r="41" spans="1:8" x14ac:dyDescent="0.25">
      <c r="A41" s="45"/>
      <c r="B41" s="45"/>
      <c r="C41" s="83"/>
      <c r="D41" s="44"/>
      <c r="E41" s="46"/>
      <c r="F41" s="46"/>
      <c r="G41" s="46"/>
      <c r="H41" s="46"/>
    </row>
    <row r="42" spans="1:8" x14ac:dyDescent="0.25">
      <c r="A42" s="45"/>
      <c r="B42" s="85"/>
      <c r="C42" s="83"/>
      <c r="D42" s="44"/>
      <c r="E42" s="46"/>
      <c r="F42" s="46"/>
      <c r="G42" s="46"/>
      <c r="H42" s="46"/>
    </row>
    <row r="43" spans="1:8" x14ac:dyDescent="0.25">
      <c r="A43" s="46"/>
      <c r="B43" s="46"/>
      <c r="C43" s="86"/>
      <c r="D43" s="44"/>
      <c r="E43" s="46"/>
      <c r="F43" s="46"/>
      <c r="G43" s="46"/>
      <c r="H43" s="46"/>
    </row>
    <row r="44" spans="1:8" x14ac:dyDescent="0.25">
      <c r="A44" s="46"/>
      <c r="B44" s="46"/>
      <c r="C44" s="46"/>
      <c r="D44" s="44"/>
      <c r="E44" s="46"/>
      <c r="F44" s="46"/>
      <c r="G44" s="46"/>
      <c r="H44" s="46"/>
    </row>
    <row r="45" spans="1:8" x14ac:dyDescent="0.25">
      <c r="A45" s="46"/>
      <c r="B45" s="87"/>
      <c r="C45" s="88"/>
      <c r="D45" s="88"/>
      <c r="E45" s="46"/>
      <c r="F45" s="46"/>
      <c r="G45" s="46"/>
      <c r="H45" s="46"/>
    </row>
    <row r="46" spans="1:8" x14ac:dyDescent="0.25">
      <c r="A46" s="46"/>
      <c r="B46" s="87"/>
      <c r="C46" s="88"/>
      <c r="D46" s="88"/>
      <c r="E46" s="46"/>
      <c r="F46" s="46"/>
      <c r="G46" s="46"/>
      <c r="H46" s="46"/>
    </row>
  </sheetData>
  <mergeCells count="1">
    <mergeCell ref="A5:B6"/>
  </mergeCells>
  <phoneticPr fontId="0" type="noConversion"/>
  <hyperlinks>
    <hyperlink ref="D1" location="Contenido!A1" display="&lt;&lt;Contenido" xr:uid="{D0EB6A3F-9C8F-46D2-B97E-D7D53399C282}"/>
  </hyperlinks>
  <pageMargins left="0.74803149606299213" right="0.74803149606299213" top="0.98425196850393704" bottom="0.98425196850393704" header="0" footer="0"/>
  <pageSetup paperSize="9" scale="90" orientation="landscape" horizontalDpi="4294967293" verticalDpi="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6B3E-28F4-4CBE-B6B2-093FE64C88BE}">
  <sheetPr codeName="Hoja4">
    <pageSetUpPr fitToPage="1"/>
  </sheetPr>
  <dimension ref="A1:K357"/>
  <sheetViews>
    <sheetView zoomScale="75" zoomScaleNormal="100" workbookViewId="0">
      <pane xSplit="2" ySplit="7" topLeftCell="C8" activePane="bottomRight" state="frozenSplit"/>
      <selection pane="topRight" activeCell="D1" sqref="D1"/>
      <selection pane="bottomLeft" activeCell="A9" sqref="A9"/>
      <selection pane="bottomRight" activeCell="D22" sqref="D22"/>
    </sheetView>
  </sheetViews>
  <sheetFormatPr defaultColWidth="11.54296875" defaultRowHeight="15.6" x14ac:dyDescent="0.3"/>
  <cols>
    <col min="1" max="1" width="8.7265625" style="1" bestFit="1" customWidth="1"/>
    <col min="2" max="2" width="35.08984375" style="1" bestFit="1" customWidth="1"/>
    <col min="3" max="3" width="7.36328125" style="4" bestFit="1" customWidth="1"/>
    <col min="4" max="4" width="17.08984375" style="4" bestFit="1" customWidth="1"/>
    <col min="5" max="5" width="7.36328125" style="4" bestFit="1" customWidth="1"/>
    <col min="6" max="6" width="10.26953125" style="4" bestFit="1" customWidth="1"/>
    <col min="7" max="7" width="43.36328125" style="1" bestFit="1" customWidth="1"/>
    <col min="8" max="8" width="5.90625" style="1" bestFit="1" customWidth="1"/>
    <col min="9" max="10" width="5.6328125" style="1" bestFit="1" customWidth="1"/>
    <col min="11" max="11" width="4.36328125" style="1" bestFit="1" customWidth="1"/>
    <col min="12" max="16384" width="11.54296875" style="1"/>
  </cols>
  <sheetData>
    <row r="1" spans="1:11" x14ac:dyDescent="0.3">
      <c r="A1" s="33"/>
      <c r="B1" s="31" t="s">
        <v>58</v>
      </c>
      <c r="C1" s="267"/>
      <c r="D1" s="267" t="str">
        <f>'P&amp;L (Old)'!A1</f>
        <v>Company  Suquimsa</v>
      </c>
      <c r="E1" s="267"/>
      <c r="F1" s="267"/>
      <c r="G1" s="33"/>
      <c r="H1" s="267"/>
      <c r="I1" s="33"/>
      <c r="J1" s="33"/>
      <c r="K1" s="33"/>
    </row>
    <row r="2" spans="1:11" x14ac:dyDescent="0.3">
      <c r="A2" s="33"/>
      <c r="B2" s="33"/>
      <c r="C2" s="267"/>
      <c r="D2" s="267">
        <f>'P&amp;L (Old)'!F1</f>
        <v>0</v>
      </c>
      <c r="E2" s="267"/>
      <c r="F2" s="267"/>
      <c r="G2" s="267"/>
      <c r="H2" s="267"/>
      <c r="I2" s="33"/>
      <c r="J2" s="33"/>
      <c r="K2" s="33"/>
    </row>
    <row r="3" spans="1:11" x14ac:dyDescent="0.3">
      <c r="A3" s="33"/>
      <c r="B3" s="33"/>
      <c r="C3" s="267"/>
      <c r="D3" s="267" t="s">
        <v>327</v>
      </c>
      <c r="E3" s="267"/>
      <c r="F3" s="267"/>
      <c r="G3" s="267"/>
      <c r="H3" s="267"/>
      <c r="I3" s="33"/>
      <c r="J3" s="33"/>
      <c r="K3" s="33"/>
    </row>
    <row r="4" spans="1:11" x14ac:dyDescent="0.3">
      <c r="A4" s="45"/>
      <c r="B4" s="45"/>
      <c r="C4" s="268"/>
      <c r="D4" s="268" t="str">
        <f>+Revenue!C3</f>
        <v>(Values in Dollars)</v>
      </c>
      <c r="E4" s="268"/>
      <c r="F4" s="268"/>
      <c r="G4" s="269"/>
      <c r="H4" s="269"/>
      <c r="I4" s="124"/>
      <c r="J4" s="124"/>
      <c r="K4" s="124"/>
    </row>
    <row r="5" spans="1:11" x14ac:dyDescent="0.3">
      <c r="A5" s="45"/>
      <c r="B5" s="45"/>
      <c r="C5" s="45"/>
      <c r="D5" s="45"/>
      <c r="E5" s="45"/>
      <c r="F5" s="45"/>
      <c r="G5" s="44"/>
      <c r="H5" s="124"/>
      <c r="I5" s="124"/>
      <c r="J5" s="124"/>
      <c r="K5" s="124"/>
    </row>
    <row r="6" spans="1:11" s="2" customFormat="1" x14ac:dyDescent="0.3">
      <c r="A6" s="333" t="s">
        <v>4</v>
      </c>
      <c r="B6" s="332"/>
      <c r="C6" s="37" t="s">
        <v>278</v>
      </c>
      <c r="D6" s="37"/>
      <c r="E6" s="37"/>
      <c r="F6" s="37" t="s">
        <v>183</v>
      </c>
      <c r="G6" s="44"/>
      <c r="H6" s="46"/>
      <c r="I6" s="46"/>
      <c r="J6" s="46"/>
      <c r="K6" s="46"/>
    </row>
    <row r="7" spans="1:11" s="2" customFormat="1" x14ac:dyDescent="0.3">
      <c r="A7" s="332"/>
      <c r="B7" s="332"/>
      <c r="C7" s="270">
        <v>2005</v>
      </c>
      <c r="D7" s="270">
        <v>2006</v>
      </c>
      <c r="E7" s="270">
        <v>2007</v>
      </c>
      <c r="F7" s="270">
        <v>2008</v>
      </c>
      <c r="G7" s="270">
        <f>F7+1</f>
        <v>2009</v>
      </c>
      <c r="H7" s="270">
        <f>G7+1</f>
        <v>2010</v>
      </c>
      <c r="I7" s="270">
        <f>H7+1</f>
        <v>2011</v>
      </c>
      <c r="J7" s="270">
        <f>I7+1</f>
        <v>2012</v>
      </c>
      <c r="K7" s="46"/>
    </row>
    <row r="8" spans="1:11" x14ac:dyDescent="0.3">
      <c r="A8" s="45"/>
      <c r="B8" s="45"/>
      <c r="C8" s="45"/>
      <c r="D8" s="45"/>
      <c r="E8" s="45"/>
      <c r="F8" s="45"/>
      <c r="G8" s="44"/>
      <c r="H8" s="124"/>
      <c r="I8" s="124"/>
      <c r="J8" s="124"/>
      <c r="K8" s="124"/>
    </row>
    <row r="9" spans="1:11" x14ac:dyDescent="0.3">
      <c r="A9" s="266" t="s">
        <v>360</v>
      </c>
      <c r="B9" s="45"/>
      <c r="C9" s="45"/>
      <c r="D9" s="45"/>
      <c r="E9" s="45"/>
      <c r="F9" s="45"/>
      <c r="G9" s="271" t="s">
        <v>361</v>
      </c>
      <c r="H9" s="124"/>
      <c r="I9" s="124"/>
      <c r="J9" s="124"/>
      <c r="K9" s="124"/>
    </row>
    <row r="10" spans="1:11" x14ac:dyDescent="0.3">
      <c r="A10" s="45"/>
      <c r="B10" s="45"/>
      <c r="C10" s="45"/>
      <c r="D10" s="45"/>
      <c r="E10" s="45"/>
      <c r="F10" s="45"/>
      <c r="G10" s="271" t="s">
        <v>362</v>
      </c>
      <c r="H10" s="124"/>
      <c r="I10" s="124"/>
      <c r="J10" s="124"/>
      <c r="K10" s="124"/>
    </row>
    <row r="11" spans="1:11" x14ac:dyDescent="0.3">
      <c r="A11" s="45"/>
      <c r="B11" s="266" t="s">
        <v>5</v>
      </c>
      <c r="C11" s="272">
        <f>SUM(C12:C14)</f>
        <v>95615</v>
      </c>
      <c r="D11" s="38">
        <f>SUM(D12:D14)</f>
        <v>250451.20000000001</v>
      </c>
      <c r="E11" s="38">
        <f>SUM(E12:E14)</f>
        <v>435878.3</v>
      </c>
      <c r="F11" s="38">
        <f>SUM(F12:F14)</f>
        <v>715228.89999999991</v>
      </c>
      <c r="G11" s="271" t="s">
        <v>363</v>
      </c>
      <c r="H11" s="124"/>
      <c r="I11" s="124"/>
      <c r="J11" s="124"/>
      <c r="K11" s="124"/>
    </row>
    <row r="12" spans="1:11" s="8" customFormat="1" x14ac:dyDescent="0.3">
      <c r="A12" s="45"/>
      <c r="B12" s="273" t="s">
        <v>364</v>
      </c>
      <c r="C12" s="274">
        <v>7664</v>
      </c>
      <c r="D12" s="75">
        <v>1884.26</v>
      </c>
      <c r="E12" s="275">
        <v>0</v>
      </c>
      <c r="F12" s="275">
        <v>0</v>
      </c>
      <c r="G12" s="44"/>
      <c r="H12" s="46"/>
      <c r="I12" s="46"/>
      <c r="J12" s="46"/>
      <c r="K12" s="46"/>
    </row>
    <row r="13" spans="1:11" x14ac:dyDescent="0.3">
      <c r="A13" s="45"/>
      <c r="B13" s="273" t="s">
        <v>365</v>
      </c>
      <c r="C13" s="276">
        <v>64492</v>
      </c>
      <c r="D13" s="75">
        <v>175296.94</v>
      </c>
      <c r="E13" s="275">
        <f>+'P&amp;L (Old)'!F9*J13</f>
        <v>305496.3</v>
      </c>
      <c r="F13" s="275">
        <f>+'P&amp;L (Old)'!G9*K13</f>
        <v>437181.89999999997</v>
      </c>
      <c r="G13" s="277"/>
      <c r="H13" s="278" t="e">
        <f>C13/'P&amp;L (Old)'!D9</f>
        <v>#REF!</v>
      </c>
      <c r="I13" s="278">
        <f>D13/'P&amp;L (Old)'!E9</f>
        <v>0.26315567138143375</v>
      </c>
      <c r="J13" s="278">
        <v>0.3</v>
      </c>
      <c r="K13" s="278">
        <v>0.3</v>
      </c>
    </row>
    <row r="14" spans="1:11" x14ac:dyDescent="0.3">
      <c r="A14" s="45"/>
      <c r="B14" s="273" t="s">
        <v>366</v>
      </c>
      <c r="C14" s="276">
        <f>24569-1110</f>
        <v>23459</v>
      </c>
      <c r="D14" s="279">
        <v>73270</v>
      </c>
      <c r="E14" s="275">
        <f>116357+14025</f>
        <v>130382</v>
      </c>
      <c r="F14" s="275">
        <f>271086+6961</f>
        <v>278047</v>
      </c>
      <c r="G14" s="44"/>
      <c r="H14" s="278" t="e">
        <f>C14/'P&amp;L (Old)'!D9</f>
        <v>#REF!</v>
      </c>
      <c r="I14" s="278">
        <f>D14/'P&amp;L (Old)'!E9</f>
        <v>0.10999288431456734</v>
      </c>
      <c r="J14" s="278">
        <f>E14/'P&amp;L (Old)'!F9</f>
        <v>0.1280362479021841</v>
      </c>
      <c r="K14" s="278">
        <f>F14/'P&amp;L (Old)'!G9</f>
        <v>0.19079952761081828</v>
      </c>
    </row>
    <row r="15" spans="1:11" x14ac:dyDescent="0.3">
      <c r="A15" s="45"/>
      <c r="B15" s="273"/>
      <c r="C15" s="276"/>
      <c r="D15" s="275"/>
      <c r="E15" s="275">
        <v>0</v>
      </c>
      <c r="F15" s="275">
        <v>0</v>
      </c>
      <c r="G15" s="44"/>
      <c r="H15" s="124"/>
      <c r="I15" s="124"/>
      <c r="J15" s="124"/>
      <c r="K15" s="124"/>
    </row>
    <row r="16" spans="1:11" x14ac:dyDescent="0.3">
      <c r="A16" s="45"/>
      <c r="B16" s="266" t="s">
        <v>367</v>
      </c>
      <c r="C16" s="38">
        <f>SUM(C17:C25)</f>
        <v>46123</v>
      </c>
      <c r="D16" s="272">
        <f>SUM(D17:D25)</f>
        <v>82459.350000000006</v>
      </c>
      <c r="E16" s="51">
        <f>SUM(E17:E25)</f>
        <v>83823.930000000008</v>
      </c>
      <c r="F16" s="272">
        <f>SUM(F17:F25)</f>
        <v>83823.930000000008</v>
      </c>
      <c r="G16" s="44"/>
      <c r="H16" s="124"/>
      <c r="I16" s="124"/>
      <c r="J16" s="124"/>
      <c r="K16" s="124"/>
    </row>
    <row r="17" spans="1:11" s="8" customFormat="1" x14ac:dyDescent="0.3">
      <c r="A17" s="45"/>
      <c r="B17" s="273" t="s">
        <v>36</v>
      </c>
      <c r="C17" s="276">
        <v>17460</v>
      </c>
      <c r="D17" s="75">
        <v>49982.86</v>
      </c>
      <c r="E17" s="75">
        <v>49982.86</v>
      </c>
      <c r="F17" s="75">
        <v>49982.86</v>
      </c>
      <c r="G17" s="44"/>
      <c r="H17" s="46"/>
      <c r="I17" s="46"/>
      <c r="J17" s="46"/>
      <c r="K17" s="46"/>
    </row>
    <row r="18" spans="1:11" s="8" customFormat="1" x14ac:dyDescent="0.3">
      <c r="A18" s="45"/>
      <c r="B18" s="273" t="s">
        <v>368</v>
      </c>
      <c r="C18" s="276"/>
      <c r="D18" s="280"/>
      <c r="E18" s="276"/>
      <c r="F18" s="276"/>
      <c r="G18" s="44"/>
      <c r="H18" s="46"/>
      <c r="I18" s="46"/>
      <c r="J18" s="46"/>
      <c r="K18" s="46"/>
    </row>
    <row r="19" spans="1:11" s="8" customFormat="1" x14ac:dyDescent="0.3">
      <c r="A19" s="45"/>
      <c r="B19" s="273" t="s">
        <v>37</v>
      </c>
      <c r="C19" s="276">
        <v>11690</v>
      </c>
      <c r="D19" s="75">
        <v>10325.42</v>
      </c>
      <c r="E19" s="45">
        <v>11690</v>
      </c>
      <c r="F19" s="274">
        <v>11690</v>
      </c>
      <c r="G19" s="44"/>
      <c r="H19" s="46"/>
      <c r="I19" s="46"/>
      <c r="J19" s="46"/>
      <c r="K19" s="46"/>
    </row>
    <row r="20" spans="1:11" s="8" customFormat="1" x14ac:dyDescent="0.3">
      <c r="A20" s="45"/>
      <c r="B20" s="273" t="s">
        <v>369</v>
      </c>
      <c r="C20" s="276"/>
      <c r="D20" s="280"/>
      <c r="E20" s="274"/>
      <c r="F20" s="276"/>
      <c r="G20" s="44"/>
      <c r="H20" s="46"/>
      <c r="I20" s="46"/>
      <c r="J20" s="46"/>
      <c r="K20" s="46"/>
    </row>
    <row r="21" spans="1:11" s="8" customFormat="1" x14ac:dyDescent="0.3">
      <c r="A21" s="45"/>
      <c r="B21" s="273" t="s">
        <v>38</v>
      </c>
      <c r="C21" s="276">
        <v>2351</v>
      </c>
      <c r="D21" s="75">
        <v>6035.28</v>
      </c>
      <c r="E21" s="75">
        <v>6035.28</v>
      </c>
      <c r="F21" s="69">
        <v>6035.28</v>
      </c>
      <c r="G21" s="44"/>
      <c r="H21" s="46"/>
      <c r="I21" s="46"/>
      <c r="J21" s="46"/>
      <c r="K21" s="46"/>
    </row>
    <row r="22" spans="1:11" s="8" customFormat="1" x14ac:dyDescent="0.3">
      <c r="A22" s="45"/>
      <c r="B22" s="273" t="s">
        <v>370</v>
      </c>
      <c r="C22" s="276"/>
      <c r="D22" s="280"/>
      <c r="E22" s="280"/>
      <c r="F22" s="280"/>
      <c r="G22" s="44"/>
      <c r="H22" s="46"/>
      <c r="I22" s="46"/>
      <c r="J22" s="46"/>
      <c r="K22" s="46"/>
    </row>
    <row r="23" spans="1:11" s="8" customFormat="1" x14ac:dyDescent="0.3">
      <c r="A23" s="45"/>
      <c r="B23" s="273" t="s">
        <v>371</v>
      </c>
      <c r="C23" s="274">
        <v>8108</v>
      </c>
      <c r="D23" s="75">
        <v>8131.91</v>
      </c>
      <c r="E23" s="75">
        <v>8131.91</v>
      </c>
      <c r="F23" s="69">
        <v>8131.91</v>
      </c>
      <c r="G23" s="44"/>
      <c r="H23" s="46"/>
      <c r="I23" s="46"/>
      <c r="J23" s="46"/>
      <c r="K23" s="46"/>
    </row>
    <row r="24" spans="1:11" s="8" customFormat="1" x14ac:dyDescent="0.3">
      <c r="A24" s="45"/>
      <c r="B24" s="273" t="s">
        <v>372</v>
      </c>
      <c r="C24" s="276">
        <v>3084</v>
      </c>
      <c r="D24" s="75">
        <v>3370.88</v>
      </c>
      <c r="E24" s="69">
        <v>3370.88</v>
      </c>
      <c r="F24" s="75">
        <v>3370.88</v>
      </c>
      <c r="G24" s="44"/>
      <c r="H24" s="46"/>
      <c r="I24" s="46"/>
      <c r="J24" s="46"/>
      <c r="K24" s="46"/>
    </row>
    <row r="25" spans="1:11" s="8" customFormat="1" x14ac:dyDescent="0.3">
      <c r="A25" s="45"/>
      <c r="B25" s="273" t="s">
        <v>39</v>
      </c>
      <c r="C25" s="276">
        <v>3430</v>
      </c>
      <c r="D25" s="69">
        <v>4613</v>
      </c>
      <c r="E25" s="75">
        <v>4613</v>
      </c>
      <c r="F25" s="69">
        <v>4613</v>
      </c>
      <c r="G25" s="44"/>
      <c r="H25" s="46"/>
      <c r="I25" s="46"/>
      <c r="J25" s="46"/>
      <c r="K25" s="46"/>
    </row>
    <row r="26" spans="1:11" s="8" customFormat="1" x14ac:dyDescent="0.3">
      <c r="A26" s="45"/>
      <c r="B26" s="273"/>
      <c r="C26" s="276"/>
      <c r="D26" s="275"/>
      <c r="E26" s="275"/>
      <c r="F26" s="275"/>
      <c r="G26" s="44"/>
      <c r="H26" s="46"/>
      <c r="I26" s="46"/>
      <c r="J26" s="46"/>
      <c r="K26" s="46"/>
    </row>
    <row r="27" spans="1:11" s="8" customFormat="1" x14ac:dyDescent="0.3">
      <c r="A27" s="45"/>
      <c r="B27" s="281" t="s">
        <v>40</v>
      </c>
      <c r="C27" s="276"/>
      <c r="D27" s="279">
        <f>SUM(D28:D29)</f>
        <v>11333</v>
      </c>
      <c r="E27" s="282">
        <f>SUM(E28:E29)</f>
        <v>2000</v>
      </c>
      <c r="F27" s="279">
        <f>SUM(F28:F29)</f>
        <v>2000</v>
      </c>
      <c r="G27" s="44"/>
      <c r="H27" s="46"/>
      <c r="I27" s="46"/>
      <c r="J27" s="46"/>
      <c r="K27" s="46"/>
    </row>
    <row r="28" spans="1:11" s="8" customFormat="1" x14ac:dyDescent="0.3">
      <c r="A28" s="45"/>
      <c r="B28" s="273" t="s">
        <v>41</v>
      </c>
      <c r="C28" s="274">
        <v>2000</v>
      </c>
      <c r="D28" s="45">
        <v>2000</v>
      </c>
      <c r="E28" s="274">
        <v>2000</v>
      </c>
      <c r="F28" s="274">
        <v>2000</v>
      </c>
      <c r="G28" s="44"/>
      <c r="H28" s="46"/>
      <c r="I28" s="46"/>
      <c r="J28" s="46"/>
      <c r="K28" s="46"/>
    </row>
    <row r="29" spans="1:11" s="8" customFormat="1" x14ac:dyDescent="0.3">
      <c r="A29" s="45"/>
      <c r="B29" s="68" t="s">
        <v>341</v>
      </c>
      <c r="C29" s="276"/>
      <c r="D29" s="69">
        <v>9333</v>
      </c>
      <c r="E29" s="275"/>
      <c r="F29" s="275"/>
      <c r="G29" s="44"/>
      <c r="H29" s="46"/>
      <c r="I29" s="46"/>
      <c r="J29" s="46"/>
      <c r="K29" s="46"/>
    </row>
    <row r="30" spans="1:11" s="8" customFormat="1" x14ac:dyDescent="0.3">
      <c r="A30" s="45"/>
      <c r="B30" s="273"/>
      <c r="C30" s="276"/>
      <c r="D30" s="275"/>
      <c r="E30" s="275"/>
      <c r="F30" s="275"/>
      <c r="G30" s="44"/>
      <c r="H30" s="46"/>
      <c r="I30" s="46"/>
      <c r="J30" s="46"/>
      <c r="K30" s="46"/>
    </row>
    <row r="31" spans="1:11" s="8" customFormat="1" x14ac:dyDescent="0.3">
      <c r="A31" s="45"/>
      <c r="B31" s="273"/>
      <c r="C31" s="276"/>
      <c r="D31" s="275"/>
      <c r="E31" s="275"/>
      <c r="F31" s="275"/>
      <c r="G31" s="44"/>
      <c r="H31" s="46"/>
      <c r="I31" s="46"/>
      <c r="J31" s="46"/>
      <c r="K31" s="46"/>
    </row>
    <row r="32" spans="1:11" x14ac:dyDescent="0.3">
      <c r="A32" s="45"/>
      <c r="B32" s="266"/>
      <c r="C32" s="268"/>
      <c r="D32" s="275"/>
      <c r="E32" s="275"/>
      <c r="F32" s="275"/>
      <c r="G32" s="44"/>
      <c r="H32" s="124"/>
      <c r="I32" s="124"/>
      <c r="J32" s="124"/>
      <c r="K32" s="124"/>
    </row>
    <row r="33" spans="1:11" x14ac:dyDescent="0.3">
      <c r="A33" s="45"/>
      <c r="B33" s="266" t="s">
        <v>6</v>
      </c>
      <c r="C33" s="38">
        <f>+C11+C16+C28</f>
        <v>143738</v>
      </c>
      <c r="D33" s="38">
        <f>+D11+D16+D27</f>
        <v>344243.55000000005</v>
      </c>
      <c r="E33" s="38">
        <f>+E11+E16+E27</f>
        <v>521702.23</v>
      </c>
      <c r="F33" s="38">
        <f>+F11+F16+F27</f>
        <v>801052.83</v>
      </c>
      <c r="G33" s="44"/>
      <c r="H33" s="124"/>
      <c r="I33" s="124"/>
      <c r="J33" s="124"/>
      <c r="K33" s="124"/>
    </row>
    <row r="34" spans="1:11" x14ac:dyDescent="0.3">
      <c r="A34" s="45"/>
      <c r="B34" s="45"/>
      <c r="C34" s="276"/>
      <c r="D34" s="276"/>
      <c r="E34" s="276"/>
      <c r="F34" s="276"/>
      <c r="G34" s="44"/>
      <c r="H34" s="124"/>
      <c r="I34" s="124"/>
      <c r="J34" s="124"/>
      <c r="K34" s="124"/>
    </row>
    <row r="35" spans="1:11" x14ac:dyDescent="0.3">
      <c r="A35" s="266" t="s">
        <v>373</v>
      </c>
      <c r="B35" s="266"/>
      <c r="C35" s="268"/>
      <c r="D35" s="275"/>
      <c r="E35" s="275"/>
      <c r="F35" s="275"/>
      <c r="G35" s="44"/>
      <c r="H35" s="124"/>
      <c r="I35" s="124"/>
      <c r="J35" s="124"/>
      <c r="K35" s="124"/>
    </row>
    <row r="36" spans="1:11" x14ac:dyDescent="0.3">
      <c r="A36" s="45"/>
      <c r="B36" s="45"/>
      <c r="C36" s="45"/>
      <c r="D36" s="45"/>
      <c r="E36" s="45"/>
      <c r="F36" s="45"/>
      <c r="G36" s="44"/>
      <c r="H36" s="124"/>
      <c r="I36" s="124"/>
      <c r="J36" s="124"/>
      <c r="K36" s="124"/>
    </row>
    <row r="37" spans="1:11" x14ac:dyDescent="0.3">
      <c r="A37" s="45"/>
      <c r="B37" s="266" t="s">
        <v>7</v>
      </c>
      <c r="C37" s="38">
        <f>SUM(C38:C45)</f>
        <v>44407</v>
      </c>
      <c r="D37" s="38">
        <f>SUM(D38:D44)</f>
        <v>56545.89</v>
      </c>
      <c r="E37" s="38" t="e">
        <f>SUM(E38:E40)</f>
        <v>#REF!</v>
      </c>
      <c r="F37" s="38" t="e">
        <f>SUM(F38:F40)</f>
        <v>#REF!</v>
      </c>
      <c r="G37" s="44"/>
      <c r="H37" s="283" t="e">
        <f>C38/'P&amp;L (Old)'!D11</f>
        <v>#DIV/0!</v>
      </c>
      <c r="I37" s="283">
        <f>D38/'P&amp;L (Old)'!E11</f>
        <v>0.14005861136158701</v>
      </c>
      <c r="J37" s="283">
        <f>E38/'P&amp;L (Old)'!F11</f>
        <v>0.15</v>
      </c>
      <c r="K37" s="283">
        <f>F38/'P&amp;L (Old)'!G11</f>
        <v>0.15</v>
      </c>
    </row>
    <row r="38" spans="1:11" x14ac:dyDescent="0.3">
      <c r="A38" s="45"/>
      <c r="B38" s="68" t="s">
        <v>343</v>
      </c>
      <c r="C38" s="276">
        <v>30583</v>
      </c>
      <c r="D38" s="75">
        <v>37278</v>
      </c>
      <c r="E38" s="276">
        <f>+'P&amp;L (Old)'!F11*0.15</f>
        <v>66840.3</v>
      </c>
      <c r="F38" s="276">
        <f>+'P&amp;L (Old)'!G11*0.15</f>
        <v>112443.95131653902</v>
      </c>
      <c r="G38" s="44"/>
      <c r="H38" s="124"/>
      <c r="I38" s="124"/>
      <c r="J38" s="124"/>
      <c r="K38" s="124"/>
    </row>
    <row r="39" spans="1:11" x14ac:dyDescent="0.3">
      <c r="A39" s="45"/>
      <c r="B39" s="68" t="s">
        <v>374</v>
      </c>
      <c r="C39" s="276"/>
      <c r="D39" s="75">
        <f>494.75*2</f>
        <v>989.5</v>
      </c>
      <c r="E39" s="275">
        <f>LEASING!F15+LEASING!F37</f>
        <v>9352.2775207483646</v>
      </c>
      <c r="F39" s="275">
        <f>LEASING!F16+LEASING!F38</f>
        <v>9352.2775207483646</v>
      </c>
      <c r="G39" s="44"/>
      <c r="H39" s="124"/>
      <c r="I39" s="124"/>
      <c r="J39" s="124"/>
      <c r="K39" s="124"/>
    </row>
    <row r="40" spans="1:11" x14ac:dyDescent="0.3">
      <c r="A40" s="45"/>
      <c r="B40" s="68" t="s">
        <v>375</v>
      </c>
      <c r="C40" s="276">
        <v>12997</v>
      </c>
      <c r="D40" s="69">
        <v>6661.58</v>
      </c>
      <c r="E40" s="275" t="e">
        <f>LOANS!F18+LOANS!#REF!</f>
        <v>#REF!</v>
      </c>
      <c r="F40" s="275" t="e">
        <f>E40</f>
        <v>#REF!</v>
      </c>
      <c r="G40" s="44"/>
      <c r="H40" s="125"/>
      <c r="I40" s="124"/>
      <c r="J40" s="124"/>
      <c r="K40" s="124"/>
    </row>
    <row r="41" spans="1:11" x14ac:dyDescent="0.3">
      <c r="A41" s="45"/>
      <c r="B41" s="68" t="s">
        <v>55</v>
      </c>
      <c r="C41" s="276">
        <v>827</v>
      </c>
      <c r="D41" s="75">
        <v>1728.89</v>
      </c>
      <c r="E41" s="275">
        <v>0</v>
      </c>
      <c r="F41" s="275">
        <v>0</v>
      </c>
      <c r="G41" s="44"/>
      <c r="H41" s="125"/>
      <c r="I41" s="124"/>
      <c r="J41" s="124"/>
      <c r="K41" s="124"/>
    </row>
    <row r="42" spans="1:11" x14ac:dyDescent="0.3">
      <c r="A42" s="45"/>
      <c r="B42" s="68" t="s">
        <v>56</v>
      </c>
      <c r="C42" s="276"/>
      <c r="D42" s="69">
        <v>554.91999999999996</v>
      </c>
      <c r="E42" s="275">
        <v>0</v>
      </c>
      <c r="F42" s="275">
        <v>0</v>
      </c>
      <c r="G42" s="44"/>
      <c r="H42" s="125"/>
      <c r="I42" s="124"/>
      <c r="J42" s="124"/>
      <c r="K42" s="124"/>
    </row>
    <row r="43" spans="1:11" x14ac:dyDescent="0.3">
      <c r="A43" s="45"/>
      <c r="B43" s="68" t="s">
        <v>346</v>
      </c>
      <c r="C43" s="276"/>
      <c r="D43" s="75">
        <v>9333</v>
      </c>
      <c r="E43" s="275">
        <v>0</v>
      </c>
      <c r="F43" s="275">
        <v>0</v>
      </c>
      <c r="G43" s="44"/>
      <c r="H43" s="125"/>
      <c r="I43" s="124"/>
      <c r="J43" s="124"/>
      <c r="K43" s="124"/>
    </row>
    <row r="44" spans="1:11" x14ac:dyDescent="0.3">
      <c r="A44" s="45"/>
      <c r="B44" s="68"/>
      <c r="C44" s="276"/>
      <c r="D44" s="275"/>
      <c r="E44" s="275"/>
      <c r="F44" s="275"/>
      <c r="G44" s="44"/>
      <c r="H44" s="125"/>
      <c r="I44" s="124"/>
      <c r="J44" s="124"/>
      <c r="K44" s="124"/>
    </row>
    <row r="45" spans="1:11" x14ac:dyDescent="0.3">
      <c r="A45" s="45"/>
      <c r="B45" s="273"/>
      <c r="C45" s="276"/>
      <c r="D45" s="275"/>
      <c r="E45" s="275"/>
      <c r="F45" s="275"/>
      <c r="G45" s="44"/>
      <c r="H45" s="125"/>
      <c r="I45" s="124"/>
      <c r="J45" s="124"/>
      <c r="K45" s="124"/>
    </row>
    <row r="46" spans="1:11" x14ac:dyDescent="0.3">
      <c r="A46" s="45"/>
      <c r="B46" s="266" t="s">
        <v>8</v>
      </c>
      <c r="C46" s="38">
        <f>C47</f>
        <v>0</v>
      </c>
      <c r="D46" s="38">
        <f>D47+D48</f>
        <v>683140.00115791615</v>
      </c>
      <c r="E46" s="38" t="e">
        <f>E47+E48</f>
        <v>#REF!</v>
      </c>
      <c r="F46" s="38" t="e">
        <f>F47+F48</f>
        <v>#REF!</v>
      </c>
      <c r="G46" s="44"/>
      <c r="H46" s="124"/>
      <c r="I46" s="124"/>
      <c r="J46" s="124"/>
      <c r="K46" s="124"/>
    </row>
    <row r="47" spans="1:11" x14ac:dyDescent="0.3">
      <c r="A47" s="45"/>
      <c r="B47" s="68" t="s">
        <v>347</v>
      </c>
      <c r="C47" s="276">
        <v>0</v>
      </c>
      <c r="D47" s="276">
        <f>LOANS!G17+18310</f>
        <v>668797.50115791615</v>
      </c>
      <c r="E47" s="275" t="e">
        <f>+LOANS!G18+LOANS!#REF!</f>
        <v>#REF!</v>
      </c>
      <c r="F47" s="275" t="e">
        <f>+LOANS!G19+LOANS!#REF!</f>
        <v>#REF!</v>
      </c>
      <c r="G47" s="44"/>
      <c r="H47" s="124"/>
      <c r="I47" s="124"/>
      <c r="J47" s="124"/>
      <c r="K47" s="124"/>
    </row>
    <row r="48" spans="1:11" x14ac:dyDescent="0.3">
      <c r="A48" s="45"/>
      <c r="B48" s="68" t="s">
        <v>374</v>
      </c>
      <c r="C48" s="276"/>
      <c r="D48" s="69">
        <f>15332-D39</f>
        <v>14342.5</v>
      </c>
      <c r="E48" s="275">
        <f>LEASING!G15+LEASING!G37</f>
        <v>19347.404479251636</v>
      </c>
      <c r="F48" s="275">
        <f>LEASING!G16+LEASING!G38</f>
        <v>11560.395665476621</v>
      </c>
      <c r="G48" s="44"/>
      <c r="H48" s="124"/>
      <c r="I48" s="124"/>
      <c r="J48" s="124"/>
      <c r="K48" s="124"/>
    </row>
    <row r="49" spans="1:11" x14ac:dyDescent="0.3">
      <c r="A49" s="45"/>
      <c r="B49" s="266" t="s">
        <v>14</v>
      </c>
      <c r="C49" s="38">
        <f>C46+C37</f>
        <v>44407</v>
      </c>
      <c r="D49" s="38">
        <f>D46+D37</f>
        <v>739685.89115791616</v>
      </c>
      <c r="E49" s="38" t="e">
        <f>E46+E37</f>
        <v>#REF!</v>
      </c>
      <c r="F49" s="38" t="e">
        <f>F46+F37</f>
        <v>#REF!</v>
      </c>
      <c r="G49" s="44"/>
      <c r="H49" s="124"/>
      <c r="I49" s="124"/>
      <c r="J49" s="124"/>
      <c r="K49" s="124"/>
    </row>
    <row r="50" spans="1:11" x14ac:dyDescent="0.3">
      <c r="A50" s="45"/>
      <c r="B50" s="45"/>
      <c r="C50" s="45"/>
      <c r="D50" s="282"/>
      <c r="E50" s="282"/>
      <c r="F50" s="282"/>
      <c r="G50" s="44"/>
      <c r="H50" s="124"/>
      <c r="I50" s="124"/>
      <c r="J50" s="124"/>
      <c r="K50" s="124"/>
    </row>
    <row r="51" spans="1:11" x14ac:dyDescent="0.3">
      <c r="A51" s="266" t="s">
        <v>13</v>
      </c>
      <c r="B51" s="45"/>
      <c r="C51" s="45"/>
      <c r="D51" s="282"/>
      <c r="E51" s="282" t="s">
        <v>12</v>
      </c>
      <c r="F51" s="282"/>
      <c r="G51" s="44"/>
      <c r="H51" s="124"/>
      <c r="I51" s="124"/>
      <c r="J51" s="124"/>
      <c r="K51" s="124"/>
    </row>
    <row r="52" spans="1:11" x14ac:dyDescent="0.3">
      <c r="A52" s="45"/>
      <c r="B52" s="45"/>
      <c r="C52" s="45"/>
      <c r="D52" s="284">
        <f>D33-(D49+D55)</f>
        <v>-545253.61115791614</v>
      </c>
      <c r="E52" s="284" t="e">
        <f>E33-(E49+E55)</f>
        <v>#REF!</v>
      </c>
      <c r="F52" s="284" t="e">
        <f>F33-(F49+F55)</f>
        <v>#REF!</v>
      </c>
      <c r="G52" s="44"/>
      <c r="H52" s="124"/>
      <c r="I52" s="124"/>
      <c r="J52" s="124"/>
      <c r="K52" s="124"/>
    </row>
    <row r="53" spans="1:11" s="8" customFormat="1" x14ac:dyDescent="0.3">
      <c r="A53" s="45"/>
      <c r="B53" s="273" t="s">
        <v>9</v>
      </c>
      <c r="C53" s="273">
        <v>10000</v>
      </c>
      <c r="D53" s="69">
        <v>10000</v>
      </c>
      <c r="E53" s="273">
        <v>60000</v>
      </c>
      <c r="F53" s="273">
        <v>60000</v>
      </c>
      <c r="G53" s="44"/>
      <c r="H53" s="46"/>
      <c r="I53" s="46"/>
      <c r="J53" s="46"/>
      <c r="K53" s="46"/>
    </row>
    <row r="54" spans="1:11" s="8" customFormat="1" x14ac:dyDescent="0.3">
      <c r="A54" s="45"/>
      <c r="B54" s="273" t="s">
        <v>42</v>
      </c>
      <c r="C54" s="273">
        <v>6937</v>
      </c>
      <c r="D54" s="69">
        <v>61459</v>
      </c>
      <c r="E54" s="273">
        <f>D54+D55</f>
        <v>211270.27</v>
      </c>
      <c r="F54" s="273" t="e">
        <f>E54+E55</f>
        <v>#REF!</v>
      </c>
      <c r="G54" s="44"/>
      <c r="H54" s="46"/>
      <c r="I54" s="46"/>
      <c r="J54" s="46"/>
      <c r="K54" s="46"/>
    </row>
    <row r="55" spans="1:11" s="8" customFormat="1" x14ac:dyDescent="0.3">
      <c r="A55" s="45"/>
      <c r="B55" s="85" t="s">
        <v>18</v>
      </c>
      <c r="C55" s="85">
        <v>82394</v>
      </c>
      <c r="D55" s="69">
        <v>149811.26999999999</v>
      </c>
      <c r="E55" s="282" t="e">
        <f>+'P&amp;L (Old)'!F42</f>
        <v>#REF!</v>
      </c>
      <c r="F55" s="282" t="e">
        <f>+'P&amp;L (Old)'!G42</f>
        <v>#REF!</v>
      </c>
      <c r="G55" s="44"/>
      <c r="H55" s="46"/>
      <c r="I55" s="46"/>
      <c r="J55" s="46"/>
      <c r="K55" s="46"/>
    </row>
    <row r="56" spans="1:11" x14ac:dyDescent="0.3">
      <c r="A56" s="45"/>
      <c r="B56" s="273" t="s">
        <v>12</v>
      </c>
      <c r="C56" s="273"/>
      <c r="D56" s="282" t="s">
        <v>12</v>
      </c>
      <c r="E56" s="282" t="s">
        <v>12</v>
      </c>
      <c r="F56" s="282" t="s">
        <v>12</v>
      </c>
      <c r="G56" s="44"/>
      <c r="H56" s="124"/>
      <c r="I56" s="124"/>
      <c r="J56" s="124"/>
      <c r="K56" s="124"/>
    </row>
    <row r="57" spans="1:11" x14ac:dyDescent="0.3">
      <c r="A57" s="45"/>
      <c r="B57" s="273"/>
      <c r="C57" s="273"/>
      <c r="D57" s="282"/>
      <c r="E57" s="282"/>
      <c r="F57" s="282"/>
      <c r="G57" s="44"/>
      <c r="H57" s="124"/>
      <c r="I57" s="124"/>
      <c r="J57" s="124"/>
      <c r="K57" s="124"/>
    </row>
    <row r="58" spans="1:11" x14ac:dyDescent="0.3">
      <c r="A58" s="285"/>
      <c r="B58" s="286" t="s">
        <v>15</v>
      </c>
      <c r="C58" s="287">
        <f>SUM(C53:C55)</f>
        <v>99331</v>
      </c>
      <c r="D58" s="287">
        <f>SUM(D53:D56)</f>
        <v>221270.27</v>
      </c>
      <c r="E58" s="287" t="e">
        <f>SUM(E53:E55)</f>
        <v>#REF!</v>
      </c>
      <c r="F58" s="287" t="e">
        <f>SUM(F53:F55)</f>
        <v>#REF!</v>
      </c>
      <c r="G58" s="44"/>
      <c r="H58" s="124"/>
      <c r="I58" s="124"/>
      <c r="J58" s="124"/>
      <c r="K58" s="124"/>
    </row>
    <row r="59" spans="1:11" x14ac:dyDescent="0.3">
      <c r="A59" s="285"/>
      <c r="B59" s="285"/>
      <c r="C59" s="285"/>
      <c r="D59" s="288"/>
      <c r="E59" s="288"/>
      <c r="F59" s="288"/>
      <c r="G59" s="44"/>
      <c r="H59" s="124"/>
      <c r="I59" s="124"/>
      <c r="J59" s="124"/>
      <c r="K59" s="124"/>
    </row>
    <row r="60" spans="1:11" x14ac:dyDescent="0.3">
      <c r="A60" s="285"/>
      <c r="B60" s="286" t="s">
        <v>10</v>
      </c>
      <c r="C60" s="287">
        <f>(C58+C49)</f>
        <v>143738</v>
      </c>
      <c r="D60" s="287">
        <f>(D58+D49)</f>
        <v>960956.16115791618</v>
      </c>
      <c r="E60" s="287" t="e">
        <f>(E58+E49)</f>
        <v>#REF!</v>
      </c>
      <c r="F60" s="287" t="e">
        <f>(F58+F49)</f>
        <v>#REF!</v>
      </c>
      <c r="G60" s="289"/>
      <c r="H60" s="124"/>
      <c r="I60" s="124"/>
      <c r="J60" s="124"/>
      <c r="K60" s="124"/>
    </row>
    <row r="61" spans="1:11" x14ac:dyDescent="0.3">
      <c r="A61" s="290"/>
      <c r="B61" s="124" t="s">
        <v>35</v>
      </c>
      <c r="C61" s="124">
        <f>+C33-C60</f>
        <v>0</v>
      </c>
      <c r="D61" s="124">
        <f>+D33-D60</f>
        <v>-616712.61115791614</v>
      </c>
      <c r="E61" s="124" t="e">
        <f>+E33-E60</f>
        <v>#REF!</v>
      </c>
      <c r="F61" s="124" t="e">
        <f>+F33-F60</f>
        <v>#REF!</v>
      </c>
      <c r="G61" s="44"/>
      <c r="H61" s="124"/>
      <c r="I61" s="124"/>
      <c r="J61" s="124"/>
      <c r="K61" s="124"/>
    </row>
    <row r="62" spans="1:11" x14ac:dyDescent="0.3">
      <c r="A62" s="124"/>
      <c r="B62" s="124"/>
      <c r="C62" s="124"/>
      <c r="D62" s="124"/>
      <c r="E62" s="124"/>
      <c r="F62" s="124"/>
      <c r="G62" s="44"/>
      <c r="H62" s="124"/>
      <c r="I62" s="124"/>
      <c r="J62" s="124"/>
      <c r="K62" s="124"/>
    </row>
    <row r="63" spans="1:11" x14ac:dyDescent="0.3">
      <c r="A63" s="124"/>
      <c r="B63" s="124"/>
      <c r="C63" s="124"/>
      <c r="D63" s="124" t="s">
        <v>12</v>
      </c>
      <c r="E63" s="124" t="s">
        <v>12</v>
      </c>
      <c r="F63" s="124" t="s">
        <v>12</v>
      </c>
      <c r="G63" s="44"/>
      <c r="H63" s="124"/>
      <c r="I63" s="124"/>
      <c r="J63" s="124"/>
      <c r="K63" s="124"/>
    </row>
    <row r="64" spans="1:11" x14ac:dyDescent="0.3">
      <c r="A64" s="124"/>
      <c r="B64" s="124"/>
      <c r="C64" s="124"/>
      <c r="D64" s="124" t="s">
        <v>12</v>
      </c>
      <c r="E64" s="124" t="s">
        <v>12</v>
      </c>
      <c r="F64" s="124" t="s">
        <v>12</v>
      </c>
      <c r="G64" s="44"/>
      <c r="H64" s="124"/>
      <c r="I64" s="124"/>
      <c r="J64" s="124"/>
      <c r="K64" s="124"/>
    </row>
    <row r="65" spans="1:11" x14ac:dyDescent="0.3">
      <c r="A65" s="124"/>
      <c r="B65" s="124"/>
      <c r="C65" s="124"/>
      <c r="D65" s="124"/>
      <c r="E65" s="124"/>
      <c r="F65" s="124"/>
      <c r="G65" s="44"/>
      <c r="H65" s="124"/>
      <c r="I65" s="124"/>
      <c r="J65" s="124"/>
      <c r="K65" s="124"/>
    </row>
    <row r="66" spans="1:11" x14ac:dyDescent="0.3">
      <c r="A66" s="124"/>
      <c r="B66" s="124"/>
      <c r="C66" s="124"/>
      <c r="D66" s="124"/>
      <c r="E66" s="124"/>
      <c r="F66" s="124"/>
      <c r="G66" s="44"/>
      <c r="H66" s="124"/>
      <c r="I66" s="124"/>
      <c r="J66" s="124"/>
      <c r="K66" s="124"/>
    </row>
    <row r="67" spans="1:11" x14ac:dyDescent="0.3">
      <c r="A67" s="124"/>
      <c r="B67" s="124"/>
      <c r="C67" s="124"/>
      <c r="D67" s="124"/>
      <c r="E67" s="124"/>
      <c r="F67" s="124"/>
      <c r="G67" s="44"/>
      <c r="H67" s="124"/>
      <c r="I67" s="124"/>
      <c r="J67" s="124"/>
      <c r="K67" s="124"/>
    </row>
    <row r="68" spans="1:11" x14ac:dyDescent="0.3">
      <c r="A68" s="124"/>
      <c r="B68" s="124"/>
      <c r="C68" s="124"/>
      <c r="D68" s="124"/>
      <c r="E68" s="124"/>
      <c r="F68" s="124"/>
      <c r="G68" s="44"/>
      <c r="H68" s="124"/>
      <c r="I68" s="124"/>
      <c r="J68" s="124"/>
      <c r="K68" s="124"/>
    </row>
    <row r="69" spans="1:11" x14ac:dyDescent="0.3">
      <c r="A69" s="124"/>
      <c r="B69" s="124"/>
      <c r="C69" s="124"/>
      <c r="D69" s="124"/>
      <c r="E69" s="124"/>
      <c r="F69" s="124"/>
      <c r="G69" s="44"/>
      <c r="H69" s="124"/>
      <c r="I69" s="124"/>
      <c r="J69" s="124"/>
      <c r="K69" s="124"/>
    </row>
    <row r="70" spans="1:11" x14ac:dyDescent="0.3">
      <c r="A70" s="124"/>
      <c r="B70" s="124"/>
      <c r="C70" s="124"/>
      <c r="D70" s="124"/>
      <c r="E70" s="124"/>
      <c r="F70" s="124"/>
      <c r="G70" s="44"/>
      <c r="H70" s="124"/>
      <c r="I70" s="124"/>
      <c r="J70" s="124"/>
      <c r="K70" s="124"/>
    </row>
    <row r="71" spans="1:11" x14ac:dyDescent="0.3">
      <c r="A71" s="124"/>
      <c r="B71" s="124"/>
      <c r="C71" s="124"/>
      <c r="D71" s="124"/>
      <c r="E71" s="124"/>
      <c r="F71" s="124"/>
      <c r="G71" s="44"/>
      <c r="H71" s="124"/>
      <c r="I71" s="124"/>
      <c r="J71" s="124"/>
      <c r="K71" s="124"/>
    </row>
    <row r="72" spans="1:11" x14ac:dyDescent="0.3">
      <c r="A72" s="124"/>
      <c r="B72" s="124"/>
      <c r="C72" s="124"/>
      <c r="D72" s="124"/>
      <c r="E72" s="124"/>
      <c r="F72" s="124"/>
      <c r="G72" s="44"/>
      <c r="H72" s="124"/>
      <c r="I72" s="124"/>
      <c r="J72" s="124"/>
      <c r="K72" s="124"/>
    </row>
    <row r="73" spans="1:11" x14ac:dyDescent="0.3">
      <c r="A73" s="124"/>
      <c r="B73" s="124"/>
      <c r="C73" s="124"/>
      <c r="D73" s="124"/>
      <c r="E73" s="124"/>
      <c r="F73" s="124"/>
      <c r="G73" s="44"/>
      <c r="H73" s="124"/>
      <c r="I73" s="124"/>
      <c r="J73" s="124"/>
      <c r="K73" s="124"/>
    </row>
    <row r="74" spans="1:11" x14ac:dyDescent="0.3">
      <c r="A74" s="124"/>
      <c r="B74" s="124"/>
      <c r="C74" s="124"/>
      <c r="D74" s="124"/>
      <c r="E74" s="124"/>
      <c r="F74" s="124"/>
      <c r="G74" s="44"/>
      <c r="H74" s="124"/>
      <c r="I74" s="124"/>
      <c r="J74" s="124"/>
      <c r="K74" s="124"/>
    </row>
    <row r="75" spans="1:11" x14ac:dyDescent="0.3">
      <c r="A75" s="124"/>
      <c r="B75" s="124"/>
      <c r="C75" s="124"/>
      <c r="D75" s="124"/>
      <c r="E75" s="124"/>
      <c r="F75" s="124"/>
      <c r="G75" s="44"/>
      <c r="H75" s="124"/>
      <c r="I75" s="124"/>
      <c r="J75" s="124"/>
      <c r="K75" s="124"/>
    </row>
    <row r="76" spans="1:11" x14ac:dyDescent="0.3">
      <c r="A76" s="124"/>
      <c r="B76" s="124"/>
      <c r="C76" s="124"/>
      <c r="D76" s="124"/>
      <c r="E76" s="124"/>
      <c r="F76" s="124"/>
      <c r="G76" s="44"/>
      <c r="H76" s="124"/>
      <c r="I76" s="124"/>
      <c r="J76" s="124"/>
      <c r="K76" s="124"/>
    </row>
    <row r="77" spans="1:11" x14ac:dyDescent="0.3">
      <c r="A77" s="124"/>
      <c r="B77" s="124"/>
      <c r="C77" s="124"/>
      <c r="D77" s="124"/>
      <c r="E77" s="124"/>
      <c r="F77" s="124"/>
      <c r="G77" s="44"/>
      <c r="H77" s="124"/>
      <c r="I77" s="124"/>
      <c r="J77" s="124"/>
      <c r="K77" s="124"/>
    </row>
    <row r="78" spans="1:11" x14ac:dyDescent="0.3">
      <c r="A78" s="124"/>
      <c r="B78" s="124"/>
      <c r="C78" s="124"/>
      <c r="D78" s="124"/>
      <c r="E78" s="124"/>
      <c r="F78" s="124"/>
      <c r="G78" s="44"/>
      <c r="H78" s="124"/>
      <c r="I78" s="124"/>
      <c r="J78" s="124"/>
      <c r="K78" s="124"/>
    </row>
    <row r="79" spans="1:11" x14ac:dyDescent="0.3">
      <c r="A79" s="124"/>
      <c r="B79" s="124"/>
      <c r="C79" s="124"/>
      <c r="D79" s="124"/>
      <c r="E79" s="124"/>
      <c r="F79" s="124"/>
      <c r="G79" s="44"/>
      <c r="H79" s="124"/>
      <c r="I79" s="124"/>
      <c r="J79" s="124"/>
      <c r="K79" s="124"/>
    </row>
    <row r="80" spans="1:11" x14ac:dyDescent="0.3">
      <c r="A80" s="124"/>
      <c r="B80" s="124"/>
      <c r="C80" s="124"/>
      <c r="D80" s="124"/>
      <c r="E80" s="124"/>
      <c r="F80" s="124"/>
      <c r="G80" s="44"/>
      <c r="H80" s="124"/>
      <c r="I80" s="124"/>
      <c r="J80" s="124"/>
      <c r="K80" s="124"/>
    </row>
    <row r="81" spans="1:11" x14ac:dyDescent="0.3">
      <c r="A81" s="124"/>
      <c r="B81" s="124"/>
      <c r="C81" s="124"/>
      <c r="D81" s="124"/>
      <c r="E81" s="124"/>
      <c r="F81" s="124"/>
      <c r="G81" s="44"/>
      <c r="H81" s="124"/>
      <c r="I81" s="124"/>
      <c r="J81" s="124"/>
      <c r="K81" s="124"/>
    </row>
    <row r="82" spans="1:11" x14ac:dyDescent="0.3">
      <c r="A82" s="124"/>
      <c r="B82" s="124"/>
      <c r="C82" s="124"/>
      <c r="D82" s="124"/>
      <c r="E82" s="124"/>
      <c r="F82" s="124"/>
      <c r="G82" s="44"/>
      <c r="H82" s="124"/>
      <c r="I82" s="124"/>
      <c r="J82" s="124"/>
      <c r="K82" s="124"/>
    </row>
    <row r="83" spans="1:11" x14ac:dyDescent="0.3">
      <c r="A83" s="124"/>
      <c r="B83" s="124"/>
      <c r="C83" s="124"/>
      <c r="D83" s="124"/>
      <c r="E83" s="124"/>
      <c r="F83" s="124"/>
      <c r="G83" s="44"/>
      <c r="H83" s="124"/>
      <c r="I83" s="124"/>
      <c r="J83" s="124"/>
      <c r="K83" s="124"/>
    </row>
    <row r="84" spans="1:11" x14ac:dyDescent="0.3">
      <c r="A84" s="124"/>
      <c r="B84" s="124"/>
      <c r="C84" s="124"/>
      <c r="D84" s="124"/>
      <c r="E84" s="124"/>
      <c r="F84" s="124"/>
      <c r="G84" s="44"/>
      <c r="H84" s="124"/>
      <c r="I84" s="124"/>
      <c r="J84" s="124"/>
      <c r="K84" s="124"/>
    </row>
    <row r="85" spans="1:11" x14ac:dyDescent="0.3">
      <c r="A85" s="124"/>
      <c r="B85" s="124"/>
      <c r="C85" s="124"/>
      <c r="D85" s="124"/>
      <c r="E85" s="124"/>
      <c r="F85" s="124"/>
      <c r="G85" s="44"/>
      <c r="H85" s="124"/>
      <c r="I85" s="124"/>
      <c r="J85" s="124"/>
      <c r="K85" s="124"/>
    </row>
    <row r="86" spans="1:11" x14ac:dyDescent="0.3">
      <c r="A86" s="124"/>
      <c r="B86" s="124"/>
      <c r="C86" s="124"/>
      <c r="D86" s="124"/>
      <c r="E86" s="124"/>
      <c r="F86" s="124"/>
      <c r="G86" s="44"/>
      <c r="H86" s="124"/>
      <c r="I86" s="124"/>
      <c r="J86" s="124"/>
      <c r="K86" s="124"/>
    </row>
    <row r="87" spans="1:11" x14ac:dyDescent="0.3">
      <c r="A87" s="124"/>
      <c r="B87" s="124"/>
      <c r="C87" s="124"/>
      <c r="D87" s="124"/>
      <c r="E87" s="124"/>
      <c r="F87" s="124"/>
      <c r="G87" s="44"/>
      <c r="H87" s="124"/>
      <c r="I87" s="124"/>
      <c r="J87" s="124"/>
      <c r="K87" s="124"/>
    </row>
    <row r="88" spans="1:11" x14ac:dyDescent="0.3">
      <c r="A88" s="124"/>
      <c r="B88" s="124"/>
      <c r="C88" s="124"/>
      <c r="D88" s="124"/>
      <c r="E88" s="124"/>
      <c r="F88" s="124"/>
      <c r="G88" s="44"/>
      <c r="H88" s="124"/>
      <c r="I88" s="124"/>
      <c r="J88" s="124"/>
      <c r="K88" s="124"/>
    </row>
    <row r="89" spans="1:11" x14ac:dyDescent="0.3">
      <c r="A89" s="124"/>
      <c r="B89" s="124"/>
      <c r="C89" s="124"/>
      <c r="D89" s="124"/>
      <c r="E89" s="124"/>
      <c r="F89" s="124"/>
      <c r="G89" s="44"/>
      <c r="H89" s="124"/>
      <c r="I89" s="124"/>
      <c r="J89" s="124"/>
      <c r="K89" s="124"/>
    </row>
    <row r="90" spans="1:11" x14ac:dyDescent="0.3">
      <c r="A90" s="124"/>
      <c r="B90" s="124"/>
      <c r="C90" s="124"/>
      <c r="D90" s="124"/>
      <c r="E90" s="124"/>
      <c r="F90" s="124"/>
      <c r="G90" s="44"/>
      <c r="H90" s="124"/>
      <c r="I90" s="124"/>
      <c r="J90" s="124"/>
      <c r="K90" s="124"/>
    </row>
    <row r="91" spans="1:11" x14ac:dyDescent="0.3">
      <c r="A91" s="124"/>
      <c r="B91" s="124"/>
      <c r="C91" s="124"/>
      <c r="D91" s="124"/>
      <c r="E91" s="124"/>
      <c r="F91" s="124"/>
      <c r="G91" s="44"/>
      <c r="H91" s="124"/>
      <c r="I91" s="124"/>
      <c r="J91" s="124"/>
      <c r="K91" s="124"/>
    </row>
    <row r="92" spans="1:11" x14ac:dyDescent="0.3">
      <c r="A92" s="124"/>
      <c r="B92" s="124"/>
      <c r="C92" s="124"/>
      <c r="D92" s="124"/>
      <c r="E92" s="124"/>
      <c r="F92" s="124"/>
      <c r="G92" s="44"/>
      <c r="H92" s="124"/>
      <c r="I92" s="124"/>
      <c r="J92" s="124"/>
      <c r="K92" s="124"/>
    </row>
    <row r="93" spans="1:11" x14ac:dyDescent="0.3">
      <c r="A93" s="124"/>
      <c r="B93" s="124"/>
      <c r="C93" s="124"/>
      <c r="D93" s="124"/>
      <c r="E93" s="124"/>
      <c r="F93" s="124"/>
      <c r="G93" s="44"/>
      <c r="H93" s="124"/>
      <c r="I93" s="124"/>
      <c r="J93" s="124"/>
      <c r="K93" s="124"/>
    </row>
    <row r="94" spans="1:11" x14ac:dyDescent="0.3">
      <c r="A94" s="124"/>
      <c r="B94" s="124"/>
      <c r="C94" s="124"/>
      <c r="D94" s="124"/>
      <c r="E94" s="124"/>
      <c r="F94" s="124"/>
      <c r="G94" s="44"/>
      <c r="H94" s="124"/>
      <c r="I94" s="124"/>
      <c r="J94" s="124"/>
      <c r="K94" s="124"/>
    </row>
    <row r="95" spans="1:11" x14ac:dyDescent="0.3">
      <c r="A95" s="124"/>
      <c r="B95" s="124"/>
      <c r="C95" s="124"/>
      <c r="D95" s="124"/>
      <c r="E95" s="124"/>
      <c r="F95" s="124"/>
      <c r="G95" s="44"/>
      <c r="H95" s="124"/>
      <c r="I95" s="124"/>
      <c r="J95" s="124"/>
      <c r="K95" s="124"/>
    </row>
    <row r="96" spans="1:11" x14ac:dyDescent="0.3">
      <c r="A96" s="124"/>
      <c r="B96" s="124"/>
      <c r="C96" s="124"/>
      <c r="D96" s="124"/>
      <c r="E96" s="124"/>
      <c r="F96" s="124"/>
      <c r="G96" s="44"/>
      <c r="H96" s="124"/>
      <c r="I96" s="124"/>
      <c r="J96" s="124"/>
      <c r="K96" s="124"/>
    </row>
    <row r="97" spans="1:11" x14ac:dyDescent="0.3">
      <c r="A97" s="124"/>
      <c r="B97" s="124"/>
      <c r="C97" s="124"/>
      <c r="D97" s="124"/>
      <c r="E97" s="124"/>
      <c r="F97" s="124"/>
      <c r="G97" s="44"/>
      <c r="H97" s="124"/>
      <c r="I97" s="124"/>
      <c r="J97" s="124"/>
      <c r="K97" s="124"/>
    </row>
    <row r="98" spans="1:11" x14ac:dyDescent="0.3">
      <c r="A98" s="124"/>
      <c r="B98" s="124"/>
      <c r="C98" s="124"/>
      <c r="D98" s="124"/>
      <c r="E98" s="124"/>
      <c r="F98" s="124"/>
      <c r="G98" s="44"/>
      <c r="H98" s="124"/>
      <c r="I98" s="124"/>
      <c r="J98" s="124"/>
      <c r="K98" s="124"/>
    </row>
    <row r="99" spans="1:11" x14ac:dyDescent="0.3">
      <c r="A99" s="124"/>
      <c r="B99" s="124"/>
      <c r="C99" s="124"/>
      <c r="D99" s="124"/>
      <c r="E99" s="124"/>
      <c r="F99" s="124"/>
      <c r="G99" s="44"/>
      <c r="H99" s="124"/>
      <c r="I99" s="124"/>
      <c r="J99" s="124"/>
      <c r="K99" s="124"/>
    </row>
    <row r="100" spans="1:11" x14ac:dyDescent="0.3">
      <c r="A100" s="124"/>
      <c r="B100" s="124"/>
      <c r="C100" s="124"/>
      <c r="D100" s="124"/>
      <c r="E100" s="124"/>
      <c r="F100" s="124"/>
      <c r="G100" s="44"/>
      <c r="H100" s="124"/>
      <c r="I100" s="124"/>
      <c r="J100" s="124"/>
      <c r="K100" s="124"/>
    </row>
    <row r="101" spans="1:11" x14ac:dyDescent="0.3">
      <c r="A101" s="124"/>
      <c r="B101" s="124"/>
      <c r="C101" s="124"/>
      <c r="D101" s="124"/>
      <c r="E101" s="124"/>
      <c r="F101" s="124"/>
      <c r="G101" s="44"/>
      <c r="H101" s="124"/>
      <c r="I101" s="124"/>
      <c r="J101" s="124"/>
      <c r="K101" s="124"/>
    </row>
    <row r="102" spans="1:11" x14ac:dyDescent="0.3">
      <c r="A102" s="124"/>
      <c r="B102" s="124"/>
      <c r="C102" s="124"/>
      <c r="D102" s="124"/>
      <c r="E102" s="124"/>
      <c r="F102" s="124"/>
      <c r="G102" s="44"/>
      <c r="H102" s="124"/>
      <c r="I102" s="124"/>
      <c r="J102" s="124"/>
      <c r="K102" s="124"/>
    </row>
    <row r="103" spans="1:11" x14ac:dyDescent="0.3">
      <c r="A103" s="124"/>
      <c r="B103" s="124"/>
      <c r="C103" s="124"/>
      <c r="D103" s="124"/>
      <c r="E103" s="124"/>
      <c r="F103" s="124"/>
      <c r="G103" s="44"/>
      <c r="H103" s="124"/>
      <c r="I103" s="124"/>
      <c r="J103" s="124"/>
      <c r="K103" s="124"/>
    </row>
    <row r="104" spans="1:11" x14ac:dyDescent="0.3">
      <c r="A104" s="124"/>
      <c r="B104" s="124"/>
      <c r="C104" s="124"/>
      <c r="D104" s="124"/>
      <c r="E104" s="124"/>
      <c r="F104" s="124"/>
      <c r="G104" s="44"/>
      <c r="H104" s="124"/>
      <c r="I104" s="124"/>
      <c r="J104" s="124"/>
      <c r="K104" s="124"/>
    </row>
    <row r="105" spans="1:11" x14ac:dyDescent="0.3">
      <c r="A105" s="124"/>
      <c r="B105" s="124"/>
      <c r="C105" s="124"/>
      <c r="D105" s="124"/>
      <c r="E105" s="124"/>
      <c r="F105" s="124"/>
      <c r="G105" s="44"/>
      <c r="H105" s="124"/>
      <c r="I105" s="124"/>
      <c r="J105" s="124"/>
      <c r="K105" s="124"/>
    </row>
    <row r="106" spans="1:11" x14ac:dyDescent="0.3">
      <c r="A106" s="124"/>
      <c r="B106" s="124"/>
      <c r="C106" s="124"/>
      <c r="D106" s="124"/>
      <c r="E106" s="124"/>
      <c r="F106" s="124"/>
      <c r="G106" s="44"/>
      <c r="H106" s="124"/>
      <c r="I106" s="124"/>
      <c r="J106" s="124"/>
      <c r="K106" s="124"/>
    </row>
    <row r="107" spans="1:11" x14ac:dyDescent="0.3">
      <c r="A107" s="124"/>
      <c r="B107" s="124"/>
      <c r="C107" s="124"/>
      <c r="D107" s="124"/>
      <c r="E107" s="124"/>
      <c r="F107" s="124"/>
      <c r="G107" s="44"/>
      <c r="H107" s="124"/>
      <c r="I107" s="124"/>
      <c r="J107" s="124"/>
      <c r="K107" s="124"/>
    </row>
    <row r="108" spans="1:11" x14ac:dyDescent="0.3">
      <c r="A108" s="124"/>
      <c r="B108" s="124"/>
      <c r="C108" s="124"/>
      <c r="D108" s="124"/>
      <c r="E108" s="124"/>
      <c r="F108" s="124"/>
      <c r="G108" s="44"/>
      <c r="H108" s="124"/>
      <c r="I108" s="124"/>
      <c r="J108" s="124"/>
      <c r="K108" s="124"/>
    </row>
    <row r="109" spans="1:11" x14ac:dyDescent="0.3">
      <c r="A109" s="124"/>
      <c r="B109" s="124"/>
      <c r="C109" s="124"/>
      <c r="D109" s="124"/>
      <c r="E109" s="124"/>
      <c r="F109" s="124"/>
      <c r="G109" s="44"/>
      <c r="H109" s="124"/>
      <c r="I109" s="124"/>
      <c r="J109" s="124"/>
      <c r="K109" s="124"/>
    </row>
    <row r="110" spans="1:11" x14ac:dyDescent="0.3">
      <c r="A110" s="124"/>
      <c r="B110" s="124"/>
      <c r="C110" s="124"/>
      <c r="D110" s="124"/>
      <c r="E110" s="124"/>
      <c r="F110" s="124"/>
      <c r="G110" s="44"/>
      <c r="H110" s="124"/>
      <c r="I110" s="124"/>
      <c r="J110" s="124"/>
      <c r="K110" s="124"/>
    </row>
    <row r="111" spans="1:11" x14ac:dyDescent="0.3">
      <c r="A111" s="124"/>
      <c r="B111" s="124"/>
      <c r="C111" s="124"/>
      <c r="D111" s="124"/>
      <c r="E111" s="124"/>
      <c r="F111" s="124"/>
      <c r="G111" s="44"/>
      <c r="H111" s="124"/>
      <c r="I111" s="124"/>
      <c r="J111" s="124"/>
      <c r="K111" s="124"/>
    </row>
    <row r="112" spans="1:11" x14ac:dyDescent="0.3">
      <c r="A112" s="124"/>
      <c r="B112" s="124"/>
      <c r="C112" s="124"/>
      <c r="D112" s="124"/>
      <c r="E112" s="124"/>
      <c r="F112" s="124"/>
      <c r="G112" s="44"/>
      <c r="H112" s="124"/>
      <c r="I112" s="124"/>
      <c r="J112" s="124"/>
      <c r="K112" s="124"/>
    </row>
    <row r="113" spans="1:11" x14ac:dyDescent="0.3">
      <c r="A113" s="124"/>
      <c r="B113" s="124"/>
      <c r="C113" s="124"/>
      <c r="D113" s="124"/>
      <c r="E113" s="124"/>
      <c r="F113" s="124"/>
      <c r="G113" s="44"/>
      <c r="H113" s="124"/>
      <c r="I113" s="124"/>
      <c r="J113" s="124"/>
      <c r="K113" s="124"/>
    </row>
    <row r="114" spans="1:11" x14ac:dyDescent="0.3">
      <c r="A114" s="124"/>
      <c r="B114" s="124"/>
      <c r="C114" s="124"/>
      <c r="D114" s="124"/>
      <c r="E114" s="124"/>
      <c r="F114" s="124"/>
      <c r="G114" s="44"/>
      <c r="H114" s="124"/>
      <c r="I114" s="124"/>
      <c r="J114" s="124"/>
      <c r="K114" s="124"/>
    </row>
    <row r="115" spans="1:11" x14ac:dyDescent="0.3">
      <c r="A115" s="124"/>
      <c r="B115" s="124"/>
      <c r="C115" s="124"/>
      <c r="D115" s="124"/>
      <c r="E115" s="124"/>
      <c r="F115" s="124"/>
      <c r="G115" s="44"/>
      <c r="H115" s="124"/>
      <c r="I115" s="124"/>
      <c r="J115" s="124"/>
      <c r="K115" s="124"/>
    </row>
    <row r="116" spans="1:11" x14ac:dyDescent="0.3">
      <c r="A116" s="124"/>
      <c r="B116" s="124"/>
      <c r="C116" s="124"/>
      <c r="D116" s="124"/>
      <c r="E116" s="124"/>
      <c r="F116" s="124"/>
      <c r="G116" s="44"/>
      <c r="H116" s="124"/>
      <c r="I116" s="124"/>
      <c r="J116" s="124"/>
      <c r="K116" s="124"/>
    </row>
    <row r="117" spans="1:11" x14ac:dyDescent="0.3">
      <c r="A117" s="124"/>
      <c r="B117" s="124"/>
      <c r="C117" s="124"/>
      <c r="D117" s="124"/>
      <c r="E117" s="124"/>
      <c r="F117" s="124"/>
      <c r="G117" s="44"/>
      <c r="H117" s="124"/>
      <c r="I117" s="124"/>
      <c r="J117" s="124"/>
      <c r="K117" s="124"/>
    </row>
    <row r="118" spans="1:11" x14ac:dyDescent="0.3">
      <c r="A118" s="124"/>
      <c r="B118" s="124"/>
      <c r="C118" s="124"/>
      <c r="D118" s="124"/>
      <c r="E118" s="124"/>
      <c r="F118" s="124"/>
      <c r="G118" s="44"/>
      <c r="H118" s="124"/>
      <c r="I118" s="124"/>
      <c r="J118" s="124"/>
      <c r="K118" s="124"/>
    </row>
    <row r="119" spans="1:11" x14ac:dyDescent="0.3">
      <c r="A119" s="124"/>
      <c r="B119" s="124"/>
      <c r="C119" s="124"/>
      <c r="D119" s="124"/>
      <c r="E119" s="124"/>
      <c r="F119" s="124"/>
      <c r="G119" s="44"/>
      <c r="H119" s="124"/>
      <c r="I119" s="124"/>
      <c r="J119" s="124"/>
      <c r="K119" s="124"/>
    </row>
    <row r="120" spans="1:11" x14ac:dyDescent="0.3">
      <c r="A120" s="124"/>
      <c r="B120" s="124"/>
      <c r="C120" s="124"/>
      <c r="D120" s="124"/>
      <c r="E120" s="124"/>
      <c r="F120" s="124"/>
      <c r="G120" s="44"/>
      <c r="H120" s="124"/>
      <c r="I120" s="124"/>
      <c r="J120" s="124"/>
      <c r="K120" s="124"/>
    </row>
    <row r="121" spans="1:11" x14ac:dyDescent="0.3">
      <c r="A121" s="124"/>
      <c r="B121" s="124"/>
      <c r="C121" s="124"/>
      <c r="D121" s="124"/>
      <c r="E121" s="124"/>
      <c r="F121" s="124"/>
      <c r="G121" s="44"/>
      <c r="H121" s="124"/>
      <c r="I121" s="124"/>
      <c r="J121" s="124"/>
      <c r="K121" s="124"/>
    </row>
    <row r="122" spans="1:11" x14ac:dyDescent="0.3">
      <c r="A122" s="124"/>
      <c r="B122" s="124"/>
      <c r="C122" s="124"/>
      <c r="D122" s="124"/>
      <c r="E122" s="124"/>
      <c r="F122" s="124"/>
      <c r="G122" s="44"/>
      <c r="H122" s="124"/>
      <c r="I122" s="124"/>
      <c r="J122" s="124"/>
      <c r="K122" s="124"/>
    </row>
    <row r="123" spans="1:11" x14ac:dyDescent="0.3">
      <c r="A123" s="124"/>
      <c r="B123" s="124"/>
      <c r="C123" s="124"/>
      <c r="D123" s="124"/>
      <c r="E123" s="124"/>
      <c r="F123" s="124"/>
      <c r="G123" s="44"/>
      <c r="H123" s="124"/>
      <c r="I123" s="124"/>
      <c r="J123" s="124"/>
      <c r="K123" s="124"/>
    </row>
    <row r="124" spans="1:11" x14ac:dyDescent="0.3">
      <c r="A124" s="124"/>
      <c r="B124" s="124"/>
      <c r="C124" s="124"/>
      <c r="D124" s="124"/>
      <c r="E124" s="124"/>
      <c r="F124" s="124"/>
      <c r="G124" s="44"/>
      <c r="H124" s="124"/>
      <c r="I124" s="124"/>
      <c r="J124" s="124"/>
      <c r="K124" s="124"/>
    </row>
    <row r="125" spans="1:11" x14ac:dyDescent="0.3">
      <c r="A125" s="124"/>
      <c r="B125" s="124"/>
      <c r="C125" s="124"/>
      <c r="D125" s="124"/>
      <c r="E125" s="124"/>
      <c r="F125" s="124"/>
      <c r="G125" s="44"/>
      <c r="H125" s="124"/>
      <c r="I125" s="124"/>
      <c r="J125" s="124"/>
      <c r="K125" s="124"/>
    </row>
    <row r="126" spans="1:11" x14ac:dyDescent="0.3">
      <c r="A126" s="124"/>
      <c r="B126" s="124"/>
      <c r="C126" s="124"/>
      <c r="D126" s="124"/>
      <c r="E126" s="124"/>
      <c r="F126" s="124"/>
      <c r="G126" s="44"/>
      <c r="H126" s="124"/>
      <c r="I126" s="124"/>
      <c r="J126" s="124"/>
      <c r="K126" s="124"/>
    </row>
    <row r="127" spans="1:11" x14ac:dyDescent="0.3">
      <c r="A127" s="124"/>
      <c r="B127" s="124"/>
      <c r="C127" s="124"/>
      <c r="D127" s="124"/>
      <c r="E127" s="124"/>
      <c r="F127" s="124"/>
      <c r="G127" s="44"/>
      <c r="H127" s="124"/>
      <c r="I127" s="124"/>
      <c r="J127" s="124"/>
      <c r="K127" s="124"/>
    </row>
    <row r="128" spans="1:11" x14ac:dyDescent="0.3">
      <c r="A128" s="124"/>
      <c r="B128" s="124"/>
      <c r="C128" s="124"/>
      <c r="D128" s="124"/>
      <c r="E128" s="124"/>
      <c r="F128" s="124"/>
      <c r="G128" s="44"/>
      <c r="H128" s="124"/>
      <c r="I128" s="124"/>
      <c r="J128" s="124"/>
      <c r="K128" s="124"/>
    </row>
    <row r="129" spans="1:11" x14ac:dyDescent="0.3">
      <c r="A129" s="124"/>
      <c r="B129" s="124"/>
      <c r="C129" s="124"/>
      <c r="D129" s="124"/>
      <c r="E129" s="124"/>
      <c r="F129" s="124"/>
      <c r="G129" s="44"/>
      <c r="H129" s="124"/>
      <c r="I129" s="124"/>
      <c r="J129" s="124"/>
      <c r="K129" s="124"/>
    </row>
    <row r="130" spans="1:11" x14ac:dyDescent="0.3">
      <c r="A130" s="124"/>
      <c r="B130" s="124"/>
      <c r="C130" s="124"/>
      <c r="D130" s="124"/>
      <c r="E130" s="124"/>
      <c r="F130" s="124"/>
      <c r="G130" s="44"/>
      <c r="H130" s="124"/>
      <c r="I130" s="124"/>
      <c r="J130" s="124"/>
      <c r="K130" s="124"/>
    </row>
    <row r="131" spans="1:11" x14ac:dyDescent="0.3">
      <c r="A131" s="124"/>
      <c r="B131" s="124"/>
      <c r="C131" s="124"/>
      <c r="D131" s="124"/>
      <c r="E131" s="124"/>
      <c r="F131" s="124"/>
      <c r="G131" s="44"/>
      <c r="H131" s="124"/>
      <c r="I131" s="124"/>
      <c r="J131" s="124"/>
      <c r="K131" s="124"/>
    </row>
    <row r="132" spans="1:11" x14ac:dyDescent="0.3">
      <c r="A132" s="124"/>
      <c r="B132" s="124"/>
      <c r="C132" s="124"/>
      <c r="D132" s="124"/>
      <c r="E132" s="124"/>
      <c r="F132" s="124"/>
      <c r="G132" s="44"/>
      <c r="H132" s="124"/>
      <c r="I132" s="124"/>
      <c r="J132" s="124"/>
      <c r="K132" s="124"/>
    </row>
    <row r="133" spans="1:11" x14ac:dyDescent="0.3">
      <c r="A133" s="124"/>
      <c r="B133" s="124"/>
      <c r="C133" s="124"/>
      <c r="D133" s="124"/>
      <c r="E133" s="124"/>
      <c r="F133" s="124"/>
      <c r="G133" s="44"/>
      <c r="H133" s="124"/>
      <c r="I133" s="124"/>
      <c r="J133" s="124"/>
      <c r="K133" s="124"/>
    </row>
    <row r="134" spans="1:11" x14ac:dyDescent="0.3">
      <c r="A134" s="124"/>
      <c r="B134" s="124"/>
      <c r="C134" s="124"/>
      <c r="D134" s="124"/>
      <c r="E134" s="124"/>
      <c r="F134" s="124"/>
      <c r="G134" s="44"/>
      <c r="H134" s="124"/>
      <c r="I134" s="124"/>
      <c r="J134" s="124"/>
      <c r="K134" s="124"/>
    </row>
    <row r="135" spans="1:11" x14ac:dyDescent="0.3">
      <c r="A135" s="124"/>
      <c r="B135" s="124"/>
      <c r="C135" s="124"/>
      <c r="D135" s="124"/>
      <c r="E135" s="124"/>
      <c r="F135" s="124"/>
      <c r="G135" s="44"/>
      <c r="H135" s="124"/>
      <c r="I135" s="124"/>
      <c r="J135" s="124"/>
      <c r="K135" s="124"/>
    </row>
    <row r="136" spans="1:11" x14ac:dyDescent="0.3">
      <c r="A136" s="124"/>
      <c r="B136" s="124"/>
      <c r="C136" s="124"/>
      <c r="D136" s="124"/>
      <c r="E136" s="124"/>
      <c r="F136" s="124"/>
      <c r="G136" s="44"/>
      <c r="H136" s="124"/>
      <c r="I136" s="124"/>
      <c r="J136" s="124"/>
      <c r="K136" s="124"/>
    </row>
    <row r="137" spans="1:11" x14ac:dyDescent="0.3">
      <c r="A137" s="124"/>
      <c r="B137" s="124"/>
      <c r="C137" s="124"/>
      <c r="D137" s="124"/>
      <c r="E137" s="124"/>
      <c r="F137" s="124"/>
      <c r="G137" s="44"/>
      <c r="H137" s="124"/>
      <c r="I137" s="124"/>
      <c r="J137" s="124"/>
      <c r="K137" s="124"/>
    </row>
    <row r="138" spans="1:11" x14ac:dyDescent="0.3">
      <c r="A138" s="124"/>
      <c r="B138" s="124"/>
      <c r="C138" s="124"/>
      <c r="D138" s="124"/>
      <c r="E138" s="124"/>
      <c r="F138" s="124"/>
      <c r="G138" s="44"/>
      <c r="H138" s="124"/>
      <c r="I138" s="124"/>
      <c r="J138" s="124"/>
      <c r="K138" s="124"/>
    </row>
    <row r="139" spans="1:11" x14ac:dyDescent="0.3">
      <c r="A139" s="124"/>
      <c r="B139" s="124"/>
      <c r="C139" s="124"/>
      <c r="D139" s="124"/>
      <c r="E139" s="124"/>
      <c r="F139" s="124"/>
      <c r="G139" s="44"/>
      <c r="H139" s="124"/>
      <c r="I139" s="124"/>
      <c r="J139" s="124"/>
      <c r="K139" s="124"/>
    </row>
    <row r="140" spans="1:11" x14ac:dyDescent="0.3">
      <c r="A140" s="124"/>
      <c r="B140" s="124"/>
      <c r="C140" s="124"/>
      <c r="D140" s="124"/>
      <c r="E140" s="124"/>
      <c r="F140" s="124"/>
      <c r="G140" s="44"/>
      <c r="H140" s="124"/>
      <c r="I140" s="124"/>
      <c r="J140" s="124"/>
      <c r="K140" s="124"/>
    </row>
    <row r="141" spans="1:11" x14ac:dyDescent="0.3">
      <c r="A141" s="124"/>
      <c r="B141" s="124"/>
      <c r="C141" s="124"/>
      <c r="D141" s="124"/>
      <c r="E141" s="124"/>
      <c r="F141" s="124"/>
      <c r="G141" s="44"/>
      <c r="H141" s="124"/>
      <c r="I141" s="124"/>
      <c r="J141" s="124"/>
      <c r="K141" s="124"/>
    </row>
    <row r="142" spans="1:11" x14ac:dyDescent="0.3">
      <c r="A142" s="124"/>
      <c r="B142" s="124"/>
      <c r="C142" s="124"/>
      <c r="D142" s="124"/>
      <c r="E142" s="124"/>
      <c r="F142" s="124"/>
      <c r="G142" s="44"/>
      <c r="H142" s="124"/>
      <c r="I142" s="124"/>
      <c r="J142" s="124"/>
      <c r="K142" s="124"/>
    </row>
    <row r="143" spans="1:11" x14ac:dyDescent="0.3">
      <c r="A143" s="124"/>
      <c r="B143" s="124"/>
      <c r="C143" s="124"/>
      <c r="D143" s="124"/>
      <c r="E143" s="124"/>
      <c r="F143" s="124"/>
      <c r="G143" s="44"/>
      <c r="H143" s="124"/>
      <c r="I143" s="124"/>
      <c r="J143" s="124"/>
      <c r="K143" s="124"/>
    </row>
    <row r="144" spans="1:11" x14ac:dyDescent="0.3">
      <c r="A144" s="124"/>
      <c r="B144" s="124"/>
      <c r="C144" s="124"/>
      <c r="D144" s="124"/>
      <c r="E144" s="124"/>
      <c r="F144" s="124"/>
      <c r="G144" s="44"/>
      <c r="H144" s="124"/>
      <c r="I144" s="124"/>
      <c r="J144" s="124"/>
      <c r="K144" s="124"/>
    </row>
    <row r="145" spans="1:11" x14ac:dyDescent="0.3">
      <c r="A145" s="124"/>
      <c r="B145" s="124"/>
      <c r="C145" s="124"/>
      <c r="D145" s="124"/>
      <c r="E145" s="124"/>
      <c r="F145" s="124"/>
      <c r="G145" s="44"/>
      <c r="H145" s="124"/>
      <c r="I145" s="124"/>
      <c r="J145" s="124"/>
      <c r="K145" s="124"/>
    </row>
    <row r="146" spans="1:11" x14ac:dyDescent="0.3">
      <c r="A146" s="124"/>
      <c r="B146" s="124"/>
      <c r="C146" s="124"/>
      <c r="D146" s="124"/>
      <c r="E146" s="124"/>
      <c r="F146" s="124"/>
      <c r="G146" s="44"/>
      <c r="H146" s="124"/>
      <c r="I146" s="124"/>
      <c r="J146" s="124"/>
      <c r="K146" s="124"/>
    </row>
    <row r="147" spans="1:11" x14ac:dyDescent="0.3">
      <c r="A147" s="124"/>
      <c r="B147" s="124"/>
      <c r="C147" s="124"/>
      <c r="D147" s="124"/>
      <c r="E147" s="124"/>
      <c r="F147" s="124"/>
      <c r="G147" s="44"/>
      <c r="H147" s="124"/>
      <c r="I147" s="124"/>
      <c r="J147" s="124"/>
      <c r="K147" s="124"/>
    </row>
    <row r="148" spans="1:11" x14ac:dyDescent="0.3">
      <c r="A148" s="124"/>
      <c r="B148" s="124"/>
      <c r="C148" s="124"/>
      <c r="D148" s="124"/>
      <c r="E148" s="124"/>
      <c r="F148" s="124"/>
      <c r="G148" s="44"/>
      <c r="H148" s="124"/>
      <c r="I148" s="124"/>
      <c r="J148" s="124"/>
      <c r="K148" s="124"/>
    </row>
    <row r="149" spans="1:11" x14ac:dyDescent="0.3">
      <c r="A149" s="124"/>
      <c r="B149" s="124"/>
      <c r="C149" s="124"/>
      <c r="D149" s="124"/>
      <c r="E149" s="124"/>
      <c r="F149" s="124"/>
      <c r="G149" s="44"/>
      <c r="H149" s="124"/>
      <c r="I149" s="124"/>
      <c r="J149" s="124"/>
      <c r="K149" s="124"/>
    </row>
    <row r="150" spans="1:11" x14ac:dyDescent="0.3">
      <c r="A150" s="124"/>
      <c r="B150" s="124"/>
      <c r="C150" s="124"/>
      <c r="D150" s="124"/>
      <c r="E150" s="124"/>
      <c r="F150" s="124"/>
      <c r="G150" s="44"/>
      <c r="H150" s="124"/>
      <c r="I150" s="124"/>
      <c r="J150" s="124"/>
      <c r="K150" s="124"/>
    </row>
    <row r="151" spans="1:11" x14ac:dyDescent="0.3">
      <c r="A151" s="124"/>
      <c r="B151" s="124"/>
      <c r="C151" s="124"/>
      <c r="D151" s="124"/>
      <c r="E151" s="124"/>
      <c r="F151" s="124"/>
      <c r="G151" s="44"/>
      <c r="H151" s="124"/>
      <c r="I151" s="124"/>
      <c r="J151" s="124"/>
      <c r="K151" s="124"/>
    </row>
    <row r="152" spans="1:11" x14ac:dyDescent="0.3">
      <c r="A152" s="124"/>
      <c r="B152" s="124"/>
      <c r="C152" s="124"/>
      <c r="D152" s="124"/>
      <c r="E152" s="124"/>
      <c r="F152" s="124"/>
      <c r="G152" s="44"/>
      <c r="H152" s="124"/>
      <c r="I152" s="124"/>
      <c r="J152" s="124"/>
      <c r="K152" s="124"/>
    </row>
    <row r="153" spans="1:11" x14ac:dyDescent="0.3">
      <c r="A153" s="124"/>
      <c r="B153" s="124"/>
      <c r="C153" s="124"/>
      <c r="D153" s="124"/>
      <c r="E153" s="124"/>
      <c r="F153" s="124"/>
      <c r="G153" s="44"/>
      <c r="H153" s="124"/>
      <c r="I153" s="124"/>
      <c r="J153" s="124"/>
      <c r="K153" s="124"/>
    </row>
    <row r="154" spans="1:11" x14ac:dyDescent="0.3">
      <c r="A154" s="124"/>
      <c r="B154" s="124"/>
      <c r="C154" s="124"/>
      <c r="D154" s="124"/>
      <c r="E154" s="124"/>
      <c r="F154" s="124"/>
      <c r="G154" s="44"/>
      <c r="H154" s="124"/>
      <c r="I154" s="124"/>
      <c r="J154" s="124"/>
      <c r="K154" s="124"/>
    </row>
    <row r="155" spans="1:11" x14ac:dyDescent="0.3">
      <c r="A155" s="124"/>
      <c r="B155" s="124"/>
      <c r="C155" s="124"/>
      <c r="D155" s="124"/>
      <c r="E155" s="124"/>
      <c r="F155" s="124"/>
      <c r="G155" s="44"/>
      <c r="H155" s="124"/>
      <c r="I155" s="124"/>
      <c r="J155" s="124"/>
      <c r="K155" s="124"/>
    </row>
    <row r="156" spans="1:11" x14ac:dyDescent="0.3">
      <c r="A156" s="124"/>
      <c r="B156" s="124"/>
      <c r="C156" s="124"/>
      <c r="D156" s="124"/>
      <c r="E156" s="124"/>
      <c r="F156" s="124"/>
      <c r="G156" s="44"/>
      <c r="H156" s="124"/>
      <c r="I156" s="124"/>
      <c r="J156" s="124"/>
      <c r="K156" s="124"/>
    </row>
    <row r="157" spans="1:11" x14ac:dyDescent="0.3">
      <c r="A157" s="124"/>
      <c r="B157" s="124"/>
      <c r="C157" s="124"/>
      <c r="D157" s="124"/>
      <c r="E157" s="124"/>
      <c r="F157" s="124"/>
      <c r="G157" s="44"/>
      <c r="H157" s="124"/>
      <c r="I157" s="124"/>
      <c r="J157" s="124"/>
      <c r="K157" s="124"/>
    </row>
    <row r="158" spans="1:11" x14ac:dyDescent="0.3">
      <c r="A158" s="124"/>
      <c r="B158" s="124"/>
      <c r="C158" s="124"/>
      <c r="D158" s="124"/>
      <c r="E158" s="124"/>
      <c r="F158" s="124"/>
      <c r="G158" s="44"/>
      <c r="H158" s="124"/>
      <c r="I158" s="124"/>
      <c r="J158" s="124"/>
      <c r="K158" s="124"/>
    </row>
    <row r="159" spans="1:11" x14ac:dyDescent="0.3">
      <c r="A159" s="124"/>
      <c r="B159" s="124"/>
      <c r="C159" s="124"/>
      <c r="D159" s="124"/>
      <c r="E159" s="124"/>
      <c r="F159" s="124"/>
      <c r="G159" s="44"/>
      <c r="H159" s="124"/>
      <c r="I159" s="124"/>
      <c r="J159" s="124"/>
      <c r="K159" s="124"/>
    </row>
    <row r="160" spans="1:11" x14ac:dyDescent="0.3">
      <c r="A160" s="124"/>
      <c r="B160" s="124"/>
      <c r="C160" s="124"/>
      <c r="D160" s="124"/>
      <c r="E160" s="124"/>
      <c r="F160" s="124"/>
      <c r="G160" s="44"/>
      <c r="H160" s="124"/>
      <c r="I160" s="124"/>
      <c r="J160" s="124"/>
      <c r="K160" s="124"/>
    </row>
    <row r="161" spans="1:11" x14ac:dyDescent="0.3">
      <c r="A161" s="124"/>
      <c r="B161" s="124"/>
      <c r="C161" s="124"/>
      <c r="D161" s="124"/>
      <c r="E161" s="124"/>
      <c r="F161" s="124"/>
      <c r="G161" s="44"/>
      <c r="H161" s="124"/>
      <c r="I161" s="124"/>
      <c r="J161" s="124"/>
      <c r="K161" s="124"/>
    </row>
    <row r="162" spans="1:11" x14ac:dyDescent="0.3">
      <c r="A162" s="124"/>
      <c r="B162" s="124"/>
      <c r="C162" s="124"/>
      <c r="D162" s="124"/>
      <c r="E162" s="124"/>
      <c r="F162" s="124"/>
      <c r="G162" s="44"/>
      <c r="H162" s="124"/>
      <c r="I162" s="124"/>
      <c r="J162" s="124"/>
      <c r="K162" s="124"/>
    </row>
    <row r="163" spans="1:11" x14ac:dyDescent="0.3">
      <c r="A163" s="124"/>
      <c r="B163" s="124"/>
      <c r="C163" s="124"/>
      <c r="D163" s="124"/>
      <c r="E163" s="124"/>
      <c r="F163" s="124"/>
      <c r="G163" s="44"/>
      <c r="H163" s="124"/>
      <c r="I163" s="124"/>
      <c r="J163" s="124"/>
      <c r="K163" s="124"/>
    </row>
    <row r="164" spans="1:11" x14ac:dyDescent="0.3">
      <c r="A164" s="124"/>
      <c r="B164" s="124"/>
      <c r="C164" s="124"/>
      <c r="D164" s="124"/>
      <c r="E164" s="124"/>
      <c r="F164" s="124"/>
      <c r="G164" s="44"/>
      <c r="H164" s="124"/>
      <c r="I164" s="124"/>
      <c r="J164" s="124"/>
      <c r="K164" s="124"/>
    </row>
    <row r="165" spans="1:11" x14ac:dyDescent="0.3">
      <c r="A165" s="124"/>
      <c r="B165" s="124"/>
      <c r="C165" s="124"/>
      <c r="D165" s="124"/>
      <c r="E165" s="124"/>
      <c r="F165" s="124"/>
      <c r="G165" s="44"/>
      <c r="H165" s="124"/>
      <c r="I165" s="124"/>
      <c r="J165" s="124"/>
      <c r="K165" s="124"/>
    </row>
    <row r="166" spans="1:11" x14ac:dyDescent="0.3">
      <c r="A166" s="124"/>
      <c r="B166" s="124"/>
      <c r="C166" s="124"/>
      <c r="D166" s="124"/>
      <c r="E166" s="124"/>
      <c r="F166" s="124"/>
      <c r="G166" s="44"/>
      <c r="H166" s="124"/>
      <c r="I166" s="124"/>
      <c r="J166" s="124"/>
      <c r="K166" s="124"/>
    </row>
    <row r="167" spans="1:11" x14ac:dyDescent="0.3">
      <c r="A167" s="124"/>
      <c r="B167" s="124"/>
      <c r="C167" s="124"/>
      <c r="D167" s="124"/>
      <c r="E167" s="124"/>
      <c r="F167" s="124"/>
      <c r="G167" s="44"/>
      <c r="H167" s="124"/>
      <c r="I167" s="124"/>
      <c r="J167" s="124"/>
      <c r="K167" s="124"/>
    </row>
    <row r="168" spans="1:11" x14ac:dyDescent="0.3">
      <c r="A168" s="124"/>
      <c r="B168" s="124"/>
      <c r="C168" s="124"/>
      <c r="D168" s="124"/>
      <c r="E168" s="124"/>
      <c r="F168" s="124"/>
      <c r="G168" s="44"/>
      <c r="H168" s="124"/>
      <c r="I168" s="124"/>
      <c r="J168" s="124"/>
      <c r="K168" s="124"/>
    </row>
    <row r="169" spans="1:11" x14ac:dyDescent="0.3">
      <c r="A169" s="124"/>
      <c r="B169" s="124"/>
      <c r="C169" s="124"/>
      <c r="D169" s="124"/>
      <c r="E169" s="124"/>
      <c r="F169" s="124"/>
      <c r="G169" s="44"/>
      <c r="H169" s="124"/>
      <c r="I169" s="124"/>
      <c r="J169" s="124"/>
      <c r="K169" s="124"/>
    </row>
    <row r="170" spans="1:11" x14ac:dyDescent="0.3">
      <c r="A170" s="124"/>
      <c r="B170" s="124"/>
      <c r="C170" s="124"/>
      <c r="D170" s="124"/>
      <c r="E170" s="124"/>
      <c r="F170" s="124"/>
      <c r="G170" s="44"/>
      <c r="H170" s="124"/>
      <c r="I170" s="124"/>
      <c r="J170" s="124"/>
      <c r="K170" s="124"/>
    </row>
    <row r="171" spans="1:11" x14ac:dyDescent="0.3">
      <c r="A171" s="124"/>
      <c r="B171" s="124"/>
      <c r="C171" s="124"/>
      <c r="D171" s="124"/>
      <c r="E171" s="124"/>
      <c r="F171" s="124"/>
      <c r="G171" s="44"/>
      <c r="H171" s="124"/>
      <c r="I171" s="124"/>
      <c r="J171" s="124"/>
      <c r="K171" s="124"/>
    </row>
    <row r="172" spans="1:11" x14ac:dyDescent="0.3">
      <c r="A172" s="124"/>
      <c r="B172" s="124"/>
      <c r="C172" s="124"/>
      <c r="D172" s="124"/>
      <c r="E172" s="124"/>
      <c r="F172" s="124"/>
      <c r="G172" s="44"/>
      <c r="H172" s="124"/>
      <c r="I172" s="124"/>
      <c r="J172" s="124"/>
      <c r="K172" s="124"/>
    </row>
    <row r="173" spans="1:11" x14ac:dyDescent="0.3">
      <c r="A173" s="124"/>
      <c r="B173" s="124"/>
      <c r="C173" s="124"/>
      <c r="D173" s="124"/>
      <c r="E173" s="124"/>
      <c r="F173" s="124"/>
      <c r="G173" s="44"/>
      <c r="H173" s="124"/>
      <c r="I173" s="124"/>
      <c r="J173" s="124"/>
      <c r="K173" s="124"/>
    </row>
    <row r="174" spans="1:11" x14ac:dyDescent="0.3">
      <c r="A174" s="124"/>
      <c r="B174" s="124"/>
      <c r="C174" s="124"/>
      <c r="D174" s="124"/>
      <c r="E174" s="124"/>
      <c r="F174" s="124"/>
      <c r="G174" s="44"/>
      <c r="H174" s="124"/>
      <c r="I174" s="124"/>
      <c r="J174" s="124"/>
      <c r="K174" s="124"/>
    </row>
    <row r="175" spans="1:11" x14ac:dyDescent="0.3">
      <c r="A175" s="124"/>
      <c r="B175" s="124"/>
      <c r="C175" s="124"/>
      <c r="D175" s="124"/>
      <c r="E175" s="124"/>
      <c r="F175" s="124"/>
      <c r="G175" s="44"/>
      <c r="H175" s="124"/>
      <c r="I175" s="124"/>
      <c r="J175" s="124"/>
      <c r="K175" s="124"/>
    </row>
    <row r="176" spans="1:11" x14ac:dyDescent="0.3">
      <c r="A176" s="124"/>
      <c r="B176" s="124"/>
      <c r="C176" s="124"/>
      <c r="D176" s="124"/>
      <c r="E176" s="124"/>
      <c r="F176" s="124"/>
      <c r="G176" s="44"/>
      <c r="H176" s="124"/>
      <c r="I176" s="124"/>
      <c r="J176" s="124"/>
      <c r="K176" s="124"/>
    </row>
    <row r="177" spans="1:11" x14ac:dyDescent="0.3">
      <c r="A177" s="124"/>
      <c r="B177" s="124"/>
      <c r="C177" s="124"/>
      <c r="D177" s="124"/>
      <c r="E177" s="124"/>
      <c r="F177" s="124"/>
      <c r="G177" s="44"/>
      <c r="H177" s="124"/>
      <c r="I177" s="124"/>
      <c r="J177" s="124"/>
      <c r="K177" s="124"/>
    </row>
    <row r="178" spans="1:11" x14ac:dyDescent="0.3">
      <c r="A178" s="124"/>
      <c r="B178" s="124"/>
      <c r="C178" s="124"/>
      <c r="D178" s="124"/>
      <c r="E178" s="124"/>
      <c r="F178" s="124"/>
      <c r="G178" s="44"/>
      <c r="H178" s="124"/>
      <c r="I178" s="124"/>
      <c r="J178" s="124"/>
      <c r="K178" s="124"/>
    </row>
    <row r="179" spans="1:11" x14ac:dyDescent="0.3">
      <c r="A179" s="124"/>
      <c r="B179" s="124"/>
      <c r="C179" s="124"/>
      <c r="D179" s="124"/>
      <c r="E179" s="124"/>
      <c r="F179" s="124"/>
      <c r="G179" s="44"/>
      <c r="H179" s="124"/>
      <c r="I179" s="124"/>
      <c r="J179" s="124"/>
      <c r="K179" s="124"/>
    </row>
    <row r="180" spans="1:11" x14ac:dyDescent="0.3">
      <c r="A180" s="124"/>
      <c r="B180" s="124"/>
      <c r="C180" s="124"/>
      <c r="D180" s="124"/>
      <c r="E180" s="124"/>
      <c r="F180" s="124"/>
      <c r="G180" s="44"/>
      <c r="H180" s="124"/>
      <c r="I180" s="124"/>
      <c r="J180" s="124"/>
      <c r="K180" s="124"/>
    </row>
    <row r="181" spans="1:11" x14ac:dyDescent="0.3">
      <c r="A181" s="124"/>
      <c r="B181" s="124"/>
      <c r="C181" s="124"/>
      <c r="D181" s="124"/>
      <c r="E181" s="124"/>
      <c r="F181" s="124"/>
      <c r="G181" s="44"/>
      <c r="H181" s="124"/>
      <c r="I181" s="124"/>
      <c r="J181" s="124"/>
      <c r="K181" s="124"/>
    </row>
    <row r="182" spans="1:11" x14ac:dyDescent="0.3">
      <c r="A182" s="124"/>
      <c r="B182" s="124"/>
      <c r="C182" s="124"/>
      <c r="D182" s="124"/>
      <c r="E182" s="124"/>
      <c r="F182" s="124"/>
      <c r="G182" s="44"/>
      <c r="H182" s="124"/>
      <c r="I182" s="124"/>
      <c r="J182" s="124"/>
      <c r="K182" s="124"/>
    </row>
    <row r="183" spans="1:11" x14ac:dyDescent="0.3">
      <c r="A183" s="124"/>
      <c r="B183" s="124"/>
      <c r="C183" s="124"/>
      <c r="D183" s="124"/>
      <c r="E183" s="124"/>
      <c r="F183" s="124"/>
      <c r="G183" s="44"/>
      <c r="H183" s="124"/>
      <c r="I183" s="124"/>
      <c r="J183" s="124"/>
      <c r="K183" s="124"/>
    </row>
    <row r="184" spans="1:11" x14ac:dyDescent="0.3">
      <c r="A184" s="124"/>
      <c r="B184" s="124"/>
      <c r="C184" s="124"/>
      <c r="D184" s="124"/>
      <c r="E184" s="124"/>
      <c r="F184" s="124"/>
      <c r="G184" s="44"/>
      <c r="H184" s="124"/>
      <c r="I184" s="124"/>
      <c r="J184" s="124"/>
      <c r="K184" s="124"/>
    </row>
    <row r="185" spans="1:11" x14ac:dyDescent="0.3">
      <c r="A185" s="124"/>
      <c r="B185" s="124"/>
      <c r="C185" s="124"/>
      <c r="D185" s="124"/>
      <c r="E185" s="124"/>
      <c r="F185" s="124"/>
      <c r="G185" s="44"/>
      <c r="H185" s="124"/>
      <c r="I185" s="124"/>
      <c r="J185" s="124"/>
      <c r="K185" s="124"/>
    </row>
    <row r="186" spans="1:11" x14ac:dyDescent="0.3">
      <c r="A186" s="124"/>
      <c r="B186" s="124"/>
      <c r="C186" s="124"/>
      <c r="D186" s="124"/>
      <c r="E186" s="124"/>
      <c r="F186" s="124"/>
      <c r="G186" s="44"/>
      <c r="H186" s="124"/>
      <c r="I186" s="124"/>
      <c r="J186" s="124"/>
      <c r="K186" s="124"/>
    </row>
    <row r="187" spans="1:11" x14ac:dyDescent="0.3">
      <c r="A187" s="124"/>
      <c r="B187" s="124"/>
      <c r="C187" s="124"/>
      <c r="D187" s="124"/>
      <c r="E187" s="124"/>
      <c r="F187" s="124"/>
      <c r="G187" s="44"/>
      <c r="H187" s="124"/>
      <c r="I187" s="124"/>
      <c r="J187" s="124"/>
      <c r="K187" s="124"/>
    </row>
    <row r="188" spans="1:11" x14ac:dyDescent="0.3">
      <c r="A188" s="124"/>
      <c r="B188" s="124"/>
      <c r="C188" s="124"/>
      <c r="D188" s="124"/>
      <c r="E188" s="124"/>
      <c r="F188" s="124"/>
      <c r="G188" s="44"/>
      <c r="H188" s="124"/>
      <c r="I188" s="124"/>
      <c r="J188" s="124"/>
      <c r="K188" s="124"/>
    </row>
    <row r="189" spans="1:11" x14ac:dyDescent="0.3">
      <c r="A189" s="124"/>
      <c r="B189" s="124"/>
      <c r="C189" s="124"/>
      <c r="D189" s="124"/>
      <c r="E189" s="124"/>
      <c r="F189" s="124"/>
      <c r="G189" s="44"/>
      <c r="H189" s="124"/>
      <c r="I189" s="124"/>
      <c r="J189" s="124"/>
      <c r="K189" s="124"/>
    </row>
    <row r="190" spans="1:11" x14ac:dyDescent="0.3">
      <c r="A190" s="124"/>
      <c r="B190" s="124"/>
      <c r="C190" s="124"/>
      <c r="D190" s="124"/>
      <c r="E190" s="124"/>
      <c r="F190" s="124"/>
      <c r="G190" s="44"/>
      <c r="H190" s="124"/>
      <c r="I190" s="124"/>
      <c r="J190" s="124"/>
      <c r="K190" s="124"/>
    </row>
    <row r="191" spans="1:11" x14ac:dyDescent="0.3">
      <c r="A191" s="124"/>
      <c r="B191" s="124"/>
      <c r="C191" s="124"/>
      <c r="D191" s="124"/>
      <c r="E191" s="124"/>
      <c r="F191" s="124"/>
      <c r="G191" s="44"/>
      <c r="H191" s="124"/>
      <c r="I191" s="124"/>
      <c r="J191" s="124"/>
      <c r="K191" s="124"/>
    </row>
    <row r="192" spans="1:11" x14ac:dyDescent="0.3">
      <c r="A192" s="124"/>
      <c r="B192" s="124"/>
      <c r="C192" s="124"/>
      <c r="D192" s="124"/>
      <c r="E192" s="124"/>
      <c r="F192" s="124"/>
      <c r="G192" s="44"/>
      <c r="H192" s="124"/>
      <c r="I192" s="124"/>
      <c r="J192" s="124"/>
      <c r="K192" s="124"/>
    </row>
    <row r="193" spans="1:11" x14ac:dyDescent="0.3">
      <c r="A193" s="124"/>
      <c r="B193" s="124"/>
      <c r="C193" s="124"/>
      <c r="D193" s="124"/>
      <c r="E193" s="124"/>
      <c r="F193" s="124"/>
      <c r="G193" s="44"/>
      <c r="H193" s="124"/>
      <c r="I193" s="124"/>
      <c r="J193" s="124"/>
      <c r="K193" s="124"/>
    </row>
    <row r="194" spans="1:11" x14ac:dyDescent="0.3">
      <c r="A194" s="124"/>
      <c r="B194" s="124"/>
      <c r="C194" s="124"/>
      <c r="D194" s="124"/>
      <c r="E194" s="124"/>
      <c r="F194" s="124"/>
      <c r="G194" s="44"/>
      <c r="H194" s="124"/>
      <c r="I194" s="124"/>
      <c r="J194" s="124"/>
      <c r="K194" s="124"/>
    </row>
    <row r="195" spans="1:11" x14ac:dyDescent="0.3">
      <c r="A195" s="124"/>
      <c r="B195" s="124"/>
      <c r="C195" s="124"/>
      <c r="D195" s="124"/>
      <c r="E195" s="124"/>
      <c r="F195" s="124"/>
      <c r="G195" s="44"/>
      <c r="H195" s="124"/>
      <c r="I195" s="124"/>
      <c r="J195" s="124"/>
      <c r="K195" s="124"/>
    </row>
    <row r="196" spans="1:11" x14ac:dyDescent="0.3">
      <c r="A196" s="124"/>
      <c r="B196" s="124"/>
      <c r="C196" s="124"/>
      <c r="D196" s="124"/>
      <c r="E196" s="124"/>
      <c r="F196" s="124"/>
      <c r="G196" s="44"/>
      <c r="H196" s="124"/>
      <c r="I196" s="124"/>
      <c r="J196" s="124"/>
      <c r="K196" s="124"/>
    </row>
    <row r="197" spans="1:11" x14ac:dyDescent="0.3">
      <c r="A197" s="124"/>
      <c r="B197" s="124"/>
      <c r="C197" s="124"/>
      <c r="D197" s="124"/>
      <c r="E197" s="124"/>
      <c r="F197" s="124"/>
      <c r="G197" s="44"/>
      <c r="H197" s="124"/>
      <c r="I197" s="124"/>
      <c r="J197" s="124"/>
      <c r="K197" s="124"/>
    </row>
    <row r="198" spans="1:11" x14ac:dyDescent="0.3">
      <c r="A198" s="124"/>
      <c r="B198" s="124"/>
      <c r="C198" s="124"/>
      <c r="D198" s="124"/>
      <c r="E198" s="124"/>
      <c r="F198" s="124"/>
      <c r="G198" s="44"/>
      <c r="H198" s="124"/>
      <c r="I198" s="124"/>
      <c r="J198" s="124"/>
      <c r="K198" s="124"/>
    </row>
    <row r="199" spans="1:11" x14ac:dyDescent="0.3">
      <c r="A199" s="124"/>
      <c r="B199" s="124"/>
      <c r="C199" s="124"/>
      <c r="D199" s="124"/>
      <c r="E199" s="124"/>
      <c r="F199" s="124"/>
      <c r="G199" s="44"/>
      <c r="H199" s="124"/>
      <c r="I199" s="124"/>
      <c r="J199" s="124"/>
      <c r="K199" s="124"/>
    </row>
    <row r="200" spans="1:11" x14ac:dyDescent="0.3">
      <c r="A200" s="124"/>
      <c r="B200" s="124"/>
      <c r="C200" s="124"/>
      <c r="D200" s="124"/>
      <c r="E200" s="124"/>
      <c r="F200" s="124"/>
      <c r="G200" s="44"/>
      <c r="H200" s="124"/>
      <c r="I200" s="124"/>
      <c r="J200" s="124"/>
      <c r="K200" s="124"/>
    </row>
    <row r="201" spans="1:11" x14ac:dyDescent="0.3">
      <c r="A201" s="124"/>
      <c r="B201" s="124"/>
      <c r="C201" s="124"/>
      <c r="D201" s="124"/>
      <c r="E201" s="124"/>
      <c r="F201" s="124"/>
      <c r="G201" s="44"/>
      <c r="H201" s="124"/>
      <c r="I201" s="124"/>
      <c r="J201" s="124"/>
      <c r="K201" s="124"/>
    </row>
    <row r="202" spans="1:11" x14ac:dyDescent="0.3">
      <c r="A202" s="124"/>
      <c r="B202" s="124"/>
      <c r="C202" s="124"/>
      <c r="D202" s="124"/>
      <c r="E202" s="124"/>
      <c r="F202" s="124"/>
      <c r="G202" s="44"/>
      <c r="H202" s="124"/>
      <c r="I202" s="124"/>
      <c r="J202" s="124"/>
      <c r="K202" s="124"/>
    </row>
    <row r="203" spans="1:11" x14ac:dyDescent="0.3">
      <c r="A203" s="124"/>
      <c r="B203" s="124"/>
      <c r="C203" s="124"/>
      <c r="D203" s="124"/>
      <c r="E203" s="124"/>
      <c r="F203" s="124"/>
      <c r="G203" s="44"/>
      <c r="H203" s="124"/>
      <c r="I203" s="124"/>
      <c r="J203" s="124"/>
      <c r="K203" s="124"/>
    </row>
    <row r="204" spans="1:11" x14ac:dyDescent="0.3">
      <c r="A204" s="124"/>
      <c r="B204" s="124"/>
      <c r="C204" s="124"/>
      <c r="D204" s="124"/>
      <c r="E204" s="124"/>
      <c r="F204" s="124"/>
      <c r="G204" s="44"/>
      <c r="H204" s="124"/>
      <c r="I204" s="124"/>
      <c r="J204" s="124"/>
      <c r="K204" s="124"/>
    </row>
    <row r="205" spans="1:11" x14ac:dyDescent="0.3">
      <c r="A205" s="124"/>
      <c r="B205" s="124"/>
      <c r="C205" s="124"/>
      <c r="D205" s="124"/>
      <c r="E205" s="124"/>
      <c r="F205" s="124"/>
      <c r="G205" s="44"/>
      <c r="H205" s="124"/>
      <c r="I205" s="124"/>
      <c r="J205" s="124"/>
      <c r="K205" s="124"/>
    </row>
    <row r="206" spans="1:11" x14ac:dyDescent="0.3">
      <c r="A206" s="124"/>
      <c r="B206" s="124"/>
      <c r="C206" s="124"/>
      <c r="D206" s="124"/>
      <c r="E206" s="124"/>
      <c r="F206" s="124"/>
      <c r="G206" s="44"/>
      <c r="H206" s="124"/>
      <c r="I206" s="124"/>
      <c r="J206" s="124"/>
      <c r="K206" s="124"/>
    </row>
    <row r="207" spans="1:11" x14ac:dyDescent="0.3">
      <c r="A207" s="124"/>
      <c r="B207" s="124"/>
      <c r="C207" s="124"/>
      <c r="D207" s="124"/>
      <c r="E207" s="124"/>
      <c r="F207" s="124"/>
      <c r="G207" s="44"/>
      <c r="H207" s="124"/>
      <c r="I207" s="124"/>
      <c r="J207" s="124"/>
      <c r="K207" s="124"/>
    </row>
    <row r="208" spans="1:11" x14ac:dyDescent="0.3">
      <c r="A208" s="124"/>
      <c r="B208" s="124"/>
      <c r="C208" s="124"/>
      <c r="D208" s="124"/>
      <c r="E208" s="124"/>
      <c r="F208" s="124"/>
      <c r="G208" s="44"/>
      <c r="H208" s="124"/>
      <c r="I208" s="124"/>
      <c r="J208" s="124"/>
      <c r="K208" s="124"/>
    </row>
    <row r="209" spans="1:11" x14ac:dyDescent="0.3">
      <c r="A209" s="124"/>
      <c r="B209" s="124"/>
      <c r="C209" s="124"/>
      <c r="D209" s="124"/>
      <c r="E209" s="124"/>
      <c r="F209" s="124"/>
      <c r="G209" s="44"/>
      <c r="H209" s="124"/>
      <c r="I209" s="124"/>
      <c r="J209" s="124"/>
      <c r="K209" s="124"/>
    </row>
    <row r="210" spans="1:11" x14ac:dyDescent="0.3">
      <c r="A210" s="124"/>
      <c r="B210" s="124"/>
      <c r="C210" s="124"/>
      <c r="D210" s="124"/>
      <c r="E210" s="124"/>
      <c r="F210" s="124"/>
      <c r="G210" s="44"/>
      <c r="H210" s="124"/>
      <c r="I210" s="124"/>
      <c r="J210" s="124"/>
      <c r="K210" s="124"/>
    </row>
    <row r="211" spans="1:11" x14ac:dyDescent="0.3">
      <c r="A211" s="124"/>
      <c r="B211" s="124"/>
      <c r="C211" s="124"/>
      <c r="D211" s="124"/>
      <c r="E211" s="124"/>
      <c r="F211" s="124"/>
      <c r="G211" s="44"/>
      <c r="H211" s="124"/>
      <c r="I211" s="124"/>
      <c r="J211" s="124"/>
      <c r="K211" s="124"/>
    </row>
    <row r="212" spans="1:11" x14ac:dyDescent="0.3">
      <c r="A212" s="124"/>
      <c r="B212" s="124"/>
      <c r="C212" s="124"/>
      <c r="D212" s="124"/>
      <c r="E212" s="124"/>
      <c r="F212" s="124"/>
      <c r="G212" s="44"/>
      <c r="H212" s="124"/>
      <c r="I212" s="124"/>
      <c r="J212" s="124"/>
      <c r="K212" s="124"/>
    </row>
    <row r="213" spans="1:11" x14ac:dyDescent="0.3">
      <c r="A213" s="124"/>
      <c r="B213" s="124"/>
      <c r="C213" s="124"/>
      <c r="D213" s="124"/>
      <c r="E213" s="124"/>
      <c r="F213" s="124"/>
      <c r="G213" s="44"/>
      <c r="H213" s="124"/>
      <c r="I213" s="124"/>
      <c r="J213" s="124"/>
      <c r="K213" s="124"/>
    </row>
    <row r="214" spans="1:11" x14ac:dyDescent="0.3">
      <c r="A214" s="124"/>
      <c r="B214" s="124"/>
      <c r="C214" s="124"/>
      <c r="D214" s="124"/>
      <c r="E214" s="124"/>
      <c r="F214" s="124"/>
      <c r="G214" s="44"/>
      <c r="H214" s="124"/>
      <c r="I214" s="124"/>
      <c r="J214" s="124"/>
      <c r="K214" s="124"/>
    </row>
    <row r="215" spans="1:11" x14ac:dyDescent="0.3">
      <c r="A215" s="124"/>
      <c r="B215" s="124"/>
      <c r="C215" s="124"/>
      <c r="D215" s="124"/>
      <c r="E215" s="124"/>
      <c r="F215" s="124"/>
      <c r="G215" s="44"/>
      <c r="H215" s="124"/>
      <c r="I215" s="124"/>
      <c r="J215" s="124"/>
      <c r="K215" s="124"/>
    </row>
    <row r="216" spans="1:11" x14ac:dyDescent="0.3">
      <c r="A216" s="124"/>
      <c r="B216" s="124"/>
      <c r="C216" s="124"/>
      <c r="D216" s="124"/>
      <c r="E216" s="124"/>
      <c r="F216" s="124"/>
      <c r="G216" s="44"/>
      <c r="H216" s="124"/>
      <c r="I216" s="124"/>
      <c r="J216" s="124"/>
      <c r="K216" s="124"/>
    </row>
    <row r="217" spans="1:11" x14ac:dyDescent="0.3">
      <c r="A217" s="124"/>
      <c r="B217" s="124"/>
      <c r="C217" s="124"/>
      <c r="D217" s="124"/>
      <c r="E217" s="124"/>
      <c r="F217" s="124"/>
      <c r="G217" s="44"/>
      <c r="H217" s="124"/>
      <c r="I217" s="124"/>
      <c r="J217" s="124"/>
      <c r="K217" s="124"/>
    </row>
    <row r="218" spans="1:11" x14ac:dyDescent="0.3">
      <c r="A218" s="124"/>
      <c r="B218" s="124"/>
      <c r="C218" s="124"/>
      <c r="D218" s="124"/>
      <c r="E218" s="124"/>
      <c r="F218" s="124"/>
      <c r="G218" s="44"/>
      <c r="H218" s="124"/>
      <c r="I218" s="124"/>
      <c r="J218" s="124"/>
      <c r="K218" s="124"/>
    </row>
    <row r="219" spans="1:11" x14ac:dyDescent="0.3">
      <c r="A219" s="124"/>
      <c r="B219" s="124"/>
      <c r="C219" s="124"/>
      <c r="D219" s="124"/>
      <c r="E219" s="124"/>
      <c r="F219" s="124"/>
      <c r="G219" s="44"/>
      <c r="H219" s="124"/>
      <c r="I219" s="124"/>
      <c r="J219" s="124"/>
      <c r="K219" s="124"/>
    </row>
    <row r="220" spans="1:11" x14ac:dyDescent="0.3">
      <c r="A220" s="124"/>
      <c r="B220" s="124"/>
      <c r="C220" s="124"/>
      <c r="D220" s="124"/>
      <c r="E220" s="124"/>
      <c r="F220" s="124"/>
      <c r="G220" s="44"/>
      <c r="H220" s="124"/>
      <c r="I220" s="124"/>
      <c r="J220" s="124"/>
      <c r="K220" s="124"/>
    </row>
    <row r="221" spans="1:11" x14ac:dyDescent="0.3">
      <c r="A221" s="124"/>
      <c r="B221" s="124"/>
      <c r="C221" s="124"/>
      <c r="D221" s="124"/>
      <c r="E221" s="124"/>
      <c r="F221" s="124"/>
      <c r="G221" s="44"/>
      <c r="H221" s="124"/>
      <c r="I221" s="124"/>
      <c r="J221" s="124"/>
      <c r="K221" s="124"/>
    </row>
    <row r="222" spans="1:11" x14ac:dyDescent="0.3">
      <c r="A222" s="124"/>
      <c r="B222" s="124"/>
      <c r="C222" s="124"/>
      <c r="D222" s="124"/>
      <c r="E222" s="124"/>
      <c r="F222" s="124"/>
      <c r="G222" s="44"/>
      <c r="H222" s="124"/>
      <c r="I222" s="124"/>
      <c r="J222" s="124"/>
      <c r="K222" s="124"/>
    </row>
    <row r="223" spans="1:11" x14ac:dyDescent="0.3">
      <c r="A223" s="124"/>
      <c r="B223" s="124"/>
      <c r="C223" s="124"/>
      <c r="D223" s="124"/>
      <c r="E223" s="124"/>
      <c r="F223" s="124"/>
      <c r="G223" s="44"/>
      <c r="H223" s="124"/>
      <c r="I223" s="124"/>
      <c r="J223" s="124"/>
      <c r="K223" s="124"/>
    </row>
    <row r="224" spans="1:11" x14ac:dyDescent="0.3">
      <c r="A224" s="124"/>
      <c r="B224" s="124"/>
      <c r="C224" s="124"/>
      <c r="D224" s="124"/>
      <c r="E224" s="124"/>
      <c r="F224" s="124"/>
      <c r="G224" s="44"/>
      <c r="H224" s="124"/>
      <c r="I224" s="124"/>
      <c r="J224" s="124"/>
      <c r="K224" s="124"/>
    </row>
    <row r="225" spans="1:11" x14ac:dyDescent="0.3">
      <c r="A225" s="124"/>
      <c r="B225" s="124"/>
      <c r="C225" s="124"/>
      <c r="D225" s="124"/>
      <c r="E225" s="124"/>
      <c r="F225" s="124"/>
      <c r="G225" s="44"/>
      <c r="H225" s="124"/>
      <c r="I225" s="124"/>
      <c r="J225" s="124"/>
      <c r="K225" s="124"/>
    </row>
    <row r="226" spans="1:11" x14ac:dyDescent="0.3">
      <c r="A226" s="124"/>
      <c r="B226" s="124"/>
      <c r="C226" s="124"/>
      <c r="D226" s="124"/>
      <c r="E226" s="124"/>
      <c r="F226" s="124"/>
      <c r="G226" s="44"/>
      <c r="H226" s="124"/>
      <c r="I226" s="124"/>
      <c r="J226" s="124"/>
      <c r="K226" s="124"/>
    </row>
    <row r="227" spans="1:11" x14ac:dyDescent="0.3">
      <c r="A227" s="124"/>
      <c r="B227" s="124"/>
      <c r="C227" s="124"/>
      <c r="D227" s="124"/>
      <c r="E227" s="124"/>
      <c r="F227" s="124"/>
      <c r="G227" s="44"/>
      <c r="H227" s="124"/>
      <c r="I227" s="124"/>
      <c r="J227" s="124"/>
      <c r="K227" s="124"/>
    </row>
    <row r="228" spans="1:11" x14ac:dyDescent="0.3">
      <c r="A228" s="124"/>
      <c r="B228" s="124"/>
      <c r="C228" s="124"/>
      <c r="D228" s="124"/>
      <c r="E228" s="124"/>
      <c r="F228" s="124"/>
      <c r="G228" s="44"/>
      <c r="H228" s="124"/>
      <c r="I228" s="124"/>
      <c r="J228" s="124"/>
      <c r="K228" s="124"/>
    </row>
    <row r="229" spans="1:11" x14ac:dyDescent="0.3">
      <c r="A229" s="124"/>
      <c r="B229" s="124"/>
      <c r="C229" s="124"/>
      <c r="D229" s="124"/>
      <c r="E229" s="124"/>
      <c r="F229" s="124"/>
      <c r="G229" s="44"/>
      <c r="H229" s="124"/>
      <c r="I229" s="124"/>
      <c r="J229" s="124"/>
      <c r="K229" s="124"/>
    </row>
    <row r="230" spans="1:11" x14ac:dyDescent="0.3">
      <c r="A230" s="124"/>
      <c r="B230" s="124"/>
      <c r="C230" s="124"/>
      <c r="D230" s="124"/>
      <c r="E230" s="124"/>
      <c r="F230" s="124"/>
      <c r="G230" s="44"/>
      <c r="H230" s="124"/>
      <c r="I230" s="124"/>
      <c r="J230" s="124"/>
      <c r="K230" s="124"/>
    </row>
    <row r="231" spans="1:11" x14ac:dyDescent="0.3">
      <c r="A231" s="124"/>
      <c r="B231" s="124"/>
      <c r="C231" s="124"/>
      <c r="D231" s="124"/>
      <c r="E231" s="124"/>
      <c r="F231" s="124"/>
      <c r="G231" s="44"/>
      <c r="H231" s="124"/>
      <c r="I231" s="124"/>
      <c r="J231" s="124"/>
      <c r="K231" s="124"/>
    </row>
    <row r="232" spans="1:11" x14ac:dyDescent="0.3">
      <c r="A232" s="124"/>
      <c r="B232" s="124"/>
      <c r="C232" s="124"/>
      <c r="D232" s="124"/>
      <c r="E232" s="124"/>
      <c r="F232" s="124"/>
      <c r="G232" s="44"/>
      <c r="H232" s="124"/>
      <c r="I232" s="124"/>
      <c r="J232" s="124"/>
      <c r="K232" s="124"/>
    </row>
    <row r="233" spans="1:11" x14ac:dyDescent="0.3">
      <c r="A233" s="124"/>
      <c r="B233" s="124"/>
      <c r="C233" s="124"/>
      <c r="D233" s="124"/>
      <c r="E233" s="124"/>
      <c r="F233" s="124"/>
      <c r="G233" s="44"/>
      <c r="H233" s="124"/>
      <c r="I233" s="124"/>
      <c r="J233" s="124"/>
      <c r="K233" s="124"/>
    </row>
    <row r="234" spans="1:11" x14ac:dyDescent="0.3">
      <c r="A234" s="124"/>
      <c r="B234" s="124"/>
      <c r="C234" s="124"/>
      <c r="D234" s="124"/>
      <c r="E234" s="124"/>
      <c r="F234" s="124"/>
      <c r="G234" s="44"/>
      <c r="H234" s="124"/>
      <c r="I234" s="124"/>
      <c r="J234" s="124"/>
      <c r="K234" s="124"/>
    </row>
    <row r="235" spans="1:11" x14ac:dyDescent="0.3">
      <c r="A235" s="124"/>
      <c r="B235" s="124"/>
      <c r="C235" s="124"/>
      <c r="D235" s="124"/>
      <c r="E235" s="124"/>
      <c r="F235" s="124"/>
      <c r="G235" s="44"/>
      <c r="H235" s="124"/>
      <c r="I235" s="124"/>
      <c r="J235" s="124"/>
      <c r="K235" s="124"/>
    </row>
    <row r="236" spans="1:11" x14ac:dyDescent="0.3">
      <c r="A236" s="124"/>
      <c r="B236" s="124"/>
      <c r="C236" s="124"/>
      <c r="D236" s="124"/>
      <c r="E236" s="124"/>
      <c r="F236" s="124"/>
      <c r="G236" s="44"/>
      <c r="H236" s="124"/>
      <c r="I236" s="124"/>
      <c r="J236" s="124"/>
      <c r="K236" s="124"/>
    </row>
    <row r="237" spans="1:11" x14ac:dyDescent="0.3">
      <c r="A237" s="124"/>
      <c r="B237" s="124"/>
      <c r="C237" s="124"/>
      <c r="D237" s="124"/>
      <c r="E237" s="124"/>
      <c r="F237" s="124"/>
      <c r="G237" s="44"/>
      <c r="H237" s="124"/>
      <c r="I237" s="124"/>
      <c r="J237" s="124"/>
      <c r="K237" s="124"/>
    </row>
    <row r="238" spans="1:11" x14ac:dyDescent="0.3">
      <c r="A238" s="124"/>
      <c r="B238" s="124"/>
      <c r="C238" s="124"/>
      <c r="D238" s="124"/>
      <c r="E238" s="124"/>
      <c r="F238" s="124"/>
      <c r="G238" s="44"/>
      <c r="H238" s="124"/>
      <c r="I238" s="124"/>
      <c r="J238" s="124"/>
      <c r="K238" s="124"/>
    </row>
    <row r="239" spans="1:11" x14ac:dyDescent="0.3">
      <c r="A239" s="124"/>
      <c r="B239" s="124"/>
      <c r="C239" s="124"/>
      <c r="D239" s="124"/>
      <c r="E239" s="124"/>
      <c r="F239" s="124"/>
      <c r="G239" s="44"/>
      <c r="H239" s="124"/>
      <c r="I239" s="124"/>
      <c r="J239" s="124"/>
      <c r="K239" s="124"/>
    </row>
    <row r="240" spans="1:11" x14ac:dyDescent="0.3">
      <c r="A240" s="124"/>
      <c r="B240" s="124"/>
      <c r="C240" s="124"/>
      <c r="D240" s="124"/>
      <c r="E240" s="124"/>
      <c r="F240" s="124"/>
      <c r="G240" s="44"/>
      <c r="H240" s="124"/>
      <c r="I240" s="124"/>
      <c r="J240" s="124"/>
      <c r="K240" s="124"/>
    </row>
    <row r="241" spans="1:11" x14ac:dyDescent="0.3">
      <c r="A241" s="124"/>
      <c r="B241" s="124"/>
      <c r="C241" s="124"/>
      <c r="D241" s="124"/>
      <c r="E241" s="124"/>
      <c r="F241" s="124"/>
      <c r="G241" s="44"/>
      <c r="H241" s="124"/>
      <c r="I241" s="124"/>
      <c r="J241" s="124"/>
      <c r="K241" s="124"/>
    </row>
    <row r="242" spans="1:11" x14ac:dyDescent="0.3">
      <c r="A242" s="124"/>
      <c r="B242" s="124"/>
      <c r="C242" s="124"/>
      <c r="D242" s="124"/>
      <c r="E242" s="124"/>
      <c r="F242" s="124"/>
      <c r="G242" s="44"/>
      <c r="H242" s="124"/>
      <c r="I242" s="124"/>
      <c r="J242" s="124"/>
      <c r="K242" s="124"/>
    </row>
    <row r="243" spans="1:11" x14ac:dyDescent="0.3">
      <c r="A243" s="124"/>
      <c r="B243" s="124"/>
      <c r="C243" s="124"/>
      <c r="D243" s="124"/>
      <c r="E243" s="124"/>
      <c r="F243" s="124"/>
      <c r="G243" s="44"/>
      <c r="H243" s="124"/>
      <c r="I243" s="124"/>
      <c r="J243" s="124"/>
      <c r="K243" s="124"/>
    </row>
    <row r="244" spans="1:11" x14ac:dyDescent="0.3">
      <c r="A244" s="124"/>
      <c r="B244" s="124"/>
      <c r="C244" s="124"/>
      <c r="D244" s="124"/>
      <c r="E244" s="124"/>
      <c r="F244" s="124"/>
      <c r="G244" s="44"/>
      <c r="H244" s="124"/>
      <c r="I244" s="124"/>
      <c r="J244" s="124"/>
      <c r="K244" s="124"/>
    </row>
    <row r="245" spans="1:11" x14ac:dyDescent="0.3">
      <c r="A245" s="124"/>
      <c r="B245" s="124"/>
      <c r="C245" s="124"/>
      <c r="D245" s="124"/>
      <c r="E245" s="124"/>
      <c r="F245" s="124"/>
      <c r="G245" s="44"/>
      <c r="H245" s="124"/>
      <c r="I245" s="124"/>
      <c r="J245" s="124"/>
      <c r="K245" s="124"/>
    </row>
    <row r="246" spans="1:11" x14ac:dyDescent="0.3">
      <c r="A246" s="124"/>
      <c r="B246" s="124"/>
      <c r="C246" s="124"/>
      <c r="D246" s="124"/>
      <c r="E246" s="124"/>
      <c r="F246" s="124"/>
      <c r="G246" s="44"/>
      <c r="H246" s="124"/>
      <c r="I246" s="124"/>
      <c r="J246" s="124"/>
      <c r="K246" s="124"/>
    </row>
    <row r="247" spans="1:11" x14ac:dyDescent="0.3">
      <c r="A247" s="124"/>
      <c r="B247" s="124"/>
      <c r="C247" s="124"/>
      <c r="D247" s="124"/>
      <c r="E247" s="124"/>
      <c r="F247" s="124"/>
      <c r="G247" s="44"/>
      <c r="H247" s="124"/>
      <c r="I247" s="124"/>
      <c r="J247" s="124"/>
      <c r="K247" s="124"/>
    </row>
    <row r="248" spans="1:11" x14ac:dyDescent="0.3">
      <c r="A248" s="124"/>
      <c r="B248" s="124"/>
      <c r="C248" s="124"/>
      <c r="D248" s="124"/>
      <c r="E248" s="124"/>
      <c r="F248" s="124"/>
      <c r="G248" s="44"/>
      <c r="H248" s="124"/>
      <c r="I248" s="124"/>
      <c r="J248" s="124"/>
      <c r="K248" s="124"/>
    </row>
    <row r="249" spans="1:11" x14ac:dyDescent="0.3">
      <c r="A249" s="124"/>
      <c r="B249" s="124"/>
      <c r="C249" s="124"/>
      <c r="D249" s="124"/>
      <c r="E249" s="124"/>
      <c r="F249" s="124"/>
      <c r="G249" s="44"/>
      <c r="H249" s="124"/>
      <c r="I249" s="124"/>
      <c r="J249" s="124"/>
      <c r="K249" s="124"/>
    </row>
    <row r="250" spans="1:11" x14ac:dyDescent="0.3">
      <c r="A250" s="124"/>
      <c r="B250" s="124"/>
      <c r="C250" s="124"/>
      <c r="D250" s="124"/>
      <c r="E250" s="124"/>
      <c r="F250" s="124"/>
      <c r="G250" s="44"/>
      <c r="H250" s="124"/>
      <c r="I250" s="124"/>
      <c r="J250" s="124"/>
      <c r="K250" s="124"/>
    </row>
    <row r="251" spans="1:11" x14ac:dyDescent="0.3">
      <c r="A251" s="124"/>
      <c r="B251" s="124"/>
      <c r="C251" s="124"/>
      <c r="D251" s="124"/>
      <c r="E251" s="124"/>
      <c r="F251" s="124"/>
      <c r="G251" s="44"/>
      <c r="H251" s="124"/>
      <c r="I251" s="124"/>
      <c r="J251" s="124"/>
      <c r="K251" s="124"/>
    </row>
    <row r="252" spans="1:11" x14ac:dyDescent="0.3">
      <c r="A252" s="124"/>
      <c r="B252" s="124"/>
      <c r="C252" s="124"/>
      <c r="D252" s="124"/>
      <c r="E252" s="124"/>
      <c r="F252" s="124"/>
      <c r="G252" s="44"/>
      <c r="H252" s="124"/>
      <c r="I252" s="124"/>
      <c r="J252" s="124"/>
      <c r="K252" s="124"/>
    </row>
    <row r="253" spans="1:11" x14ac:dyDescent="0.3">
      <c r="A253" s="124"/>
      <c r="B253" s="124"/>
      <c r="C253" s="124"/>
      <c r="D253" s="124"/>
      <c r="E253" s="124"/>
      <c r="F253" s="124"/>
      <c r="G253" s="44"/>
      <c r="H253" s="124"/>
      <c r="I253" s="124"/>
      <c r="J253" s="124"/>
      <c r="K253" s="124"/>
    </row>
    <row r="254" spans="1:11" x14ac:dyDescent="0.3">
      <c r="A254" s="124"/>
      <c r="B254" s="124"/>
      <c r="C254" s="124"/>
      <c r="D254" s="124"/>
      <c r="E254" s="124"/>
      <c r="F254" s="124"/>
      <c r="G254" s="44"/>
      <c r="H254" s="124"/>
      <c r="I254" s="124"/>
      <c r="J254" s="124"/>
      <c r="K254" s="124"/>
    </row>
    <row r="255" spans="1:11" x14ac:dyDescent="0.3">
      <c r="A255" s="124"/>
      <c r="B255" s="124"/>
      <c r="C255" s="124"/>
      <c r="D255" s="124"/>
      <c r="E255" s="124"/>
      <c r="F255" s="124"/>
      <c r="G255" s="44"/>
      <c r="H255" s="124"/>
      <c r="I255" s="124"/>
      <c r="J255" s="124"/>
      <c r="K255" s="124"/>
    </row>
    <row r="256" spans="1:11" x14ac:dyDescent="0.3">
      <c r="A256" s="124"/>
      <c r="B256" s="124"/>
      <c r="C256" s="124"/>
      <c r="D256" s="124"/>
      <c r="E256" s="124"/>
      <c r="F256" s="124"/>
      <c r="G256" s="44"/>
      <c r="H256" s="124"/>
      <c r="I256" s="124"/>
      <c r="J256" s="124"/>
      <c r="K256" s="124"/>
    </row>
    <row r="257" spans="1:11" x14ac:dyDescent="0.3">
      <c r="A257" s="124"/>
      <c r="B257" s="124"/>
      <c r="C257" s="124"/>
      <c r="D257" s="124"/>
      <c r="E257" s="124"/>
      <c r="F257" s="124"/>
      <c r="G257" s="44"/>
      <c r="H257" s="124"/>
      <c r="I257" s="124"/>
      <c r="J257" s="124"/>
      <c r="K257" s="124"/>
    </row>
    <row r="258" spans="1:11" x14ac:dyDescent="0.3">
      <c r="A258" s="124"/>
      <c r="B258" s="124"/>
      <c r="C258" s="124"/>
      <c r="D258" s="124"/>
      <c r="E258" s="124"/>
      <c r="F258" s="124"/>
      <c r="G258" s="44"/>
      <c r="H258" s="124"/>
      <c r="I258" s="124"/>
      <c r="J258" s="124"/>
      <c r="K258" s="124"/>
    </row>
    <row r="259" spans="1:11" x14ac:dyDescent="0.3">
      <c r="A259" s="124"/>
      <c r="B259" s="124"/>
      <c r="C259" s="124"/>
      <c r="D259" s="124"/>
      <c r="E259" s="124"/>
      <c r="F259" s="124"/>
      <c r="G259" s="44"/>
      <c r="H259" s="124"/>
      <c r="I259" s="124"/>
      <c r="J259" s="124"/>
      <c r="K259" s="124"/>
    </row>
    <row r="260" spans="1:11" x14ac:dyDescent="0.3">
      <c r="A260" s="124"/>
      <c r="B260" s="124"/>
      <c r="C260" s="124"/>
      <c r="D260" s="124"/>
      <c r="E260" s="124"/>
      <c r="F260" s="124"/>
      <c r="G260" s="44"/>
      <c r="H260" s="124"/>
      <c r="I260" s="124"/>
      <c r="J260" s="124"/>
      <c r="K260" s="124"/>
    </row>
    <row r="261" spans="1:11" x14ac:dyDescent="0.3">
      <c r="A261" s="124"/>
      <c r="B261" s="124"/>
      <c r="C261" s="124"/>
      <c r="D261" s="124"/>
      <c r="E261" s="124"/>
      <c r="F261" s="124"/>
      <c r="G261" s="44"/>
      <c r="H261" s="124"/>
      <c r="I261" s="124"/>
      <c r="J261" s="124"/>
      <c r="K261" s="124"/>
    </row>
    <row r="262" spans="1:11" x14ac:dyDescent="0.3">
      <c r="A262" s="124"/>
      <c r="B262" s="124"/>
      <c r="C262" s="124"/>
      <c r="D262" s="124"/>
      <c r="E262" s="124"/>
      <c r="F262" s="124"/>
      <c r="G262" s="44"/>
      <c r="H262" s="124"/>
      <c r="I262" s="124"/>
      <c r="J262" s="124"/>
      <c r="K262" s="124"/>
    </row>
    <row r="263" spans="1:11" x14ac:dyDescent="0.3">
      <c r="A263" s="124"/>
      <c r="B263" s="124"/>
      <c r="C263" s="124"/>
      <c r="D263" s="124"/>
      <c r="E263" s="124"/>
      <c r="F263" s="124"/>
      <c r="G263" s="44"/>
      <c r="H263" s="124"/>
      <c r="I263" s="124"/>
      <c r="J263" s="124"/>
      <c r="K263" s="124"/>
    </row>
    <row r="264" spans="1:11" x14ac:dyDescent="0.3">
      <c r="A264" s="124"/>
      <c r="B264" s="124"/>
      <c r="C264" s="124"/>
      <c r="D264" s="124"/>
      <c r="E264" s="124"/>
      <c r="F264" s="124"/>
      <c r="G264" s="44"/>
      <c r="H264" s="124"/>
      <c r="I264" s="124"/>
      <c r="J264" s="124"/>
      <c r="K264" s="124"/>
    </row>
    <row r="265" spans="1:11" x14ac:dyDescent="0.3">
      <c r="A265" s="124"/>
      <c r="B265" s="124"/>
      <c r="C265" s="124"/>
      <c r="D265" s="124"/>
      <c r="E265" s="124"/>
      <c r="F265" s="124"/>
      <c r="G265" s="44"/>
      <c r="H265" s="124"/>
      <c r="I265" s="124"/>
      <c r="J265" s="124"/>
      <c r="K265" s="124"/>
    </row>
    <row r="266" spans="1:11" x14ac:dyDescent="0.3">
      <c r="A266" s="124"/>
      <c r="B266" s="124"/>
      <c r="C266" s="124"/>
      <c r="D266" s="124"/>
      <c r="E266" s="124"/>
      <c r="F266" s="124"/>
      <c r="G266" s="44"/>
      <c r="H266" s="124"/>
      <c r="I266" s="124"/>
      <c r="J266" s="124"/>
      <c r="K266" s="124"/>
    </row>
    <row r="267" spans="1:11" x14ac:dyDescent="0.3">
      <c r="A267" s="124"/>
      <c r="B267" s="124"/>
      <c r="C267" s="124"/>
      <c r="D267" s="124"/>
      <c r="E267" s="124"/>
      <c r="F267" s="124"/>
      <c r="G267" s="44"/>
      <c r="H267" s="124"/>
      <c r="I267" s="124"/>
      <c r="J267" s="124"/>
      <c r="K267" s="124"/>
    </row>
    <row r="268" spans="1:11" x14ac:dyDescent="0.3">
      <c r="A268" s="124"/>
      <c r="B268" s="124"/>
      <c r="C268" s="124"/>
      <c r="D268" s="124"/>
      <c r="E268" s="124"/>
      <c r="F268" s="124"/>
      <c r="G268" s="44"/>
      <c r="H268" s="124"/>
      <c r="I268" s="124"/>
      <c r="J268" s="124"/>
      <c r="K268" s="124"/>
    </row>
    <row r="269" spans="1:11" x14ac:dyDescent="0.3">
      <c r="A269" s="124"/>
      <c r="B269" s="124"/>
      <c r="C269" s="124"/>
      <c r="D269" s="124"/>
      <c r="E269" s="124"/>
      <c r="F269" s="124"/>
      <c r="G269" s="44"/>
      <c r="H269" s="124"/>
      <c r="I269" s="124"/>
      <c r="J269" s="124"/>
      <c r="K269" s="124"/>
    </row>
    <row r="270" spans="1:11" x14ac:dyDescent="0.3">
      <c r="A270" s="124"/>
      <c r="B270" s="124"/>
      <c r="C270" s="124"/>
      <c r="D270" s="124"/>
      <c r="E270" s="124"/>
      <c r="F270" s="124"/>
      <c r="G270" s="44"/>
      <c r="H270" s="124"/>
      <c r="I270" s="124"/>
      <c r="J270" s="124"/>
      <c r="K270" s="124"/>
    </row>
    <row r="271" spans="1:11" x14ac:dyDescent="0.3">
      <c r="A271" s="124"/>
      <c r="B271" s="124"/>
      <c r="C271" s="124"/>
      <c r="D271" s="124"/>
      <c r="E271" s="124"/>
      <c r="F271" s="124"/>
      <c r="G271" s="44"/>
      <c r="H271" s="124"/>
      <c r="I271" s="124"/>
      <c r="J271" s="124"/>
      <c r="K271" s="124"/>
    </row>
    <row r="272" spans="1:11" x14ac:dyDescent="0.3">
      <c r="A272" s="124"/>
      <c r="B272" s="124"/>
      <c r="C272" s="124"/>
      <c r="D272" s="124"/>
      <c r="E272" s="124"/>
      <c r="F272" s="124"/>
      <c r="G272" s="44"/>
      <c r="H272" s="124"/>
      <c r="I272" s="124"/>
      <c r="J272" s="124"/>
      <c r="K272" s="124"/>
    </row>
    <row r="273" spans="1:11" x14ac:dyDescent="0.3">
      <c r="A273" s="124"/>
      <c r="B273" s="124"/>
      <c r="C273" s="124"/>
      <c r="D273" s="124"/>
      <c r="E273" s="124"/>
      <c r="F273" s="124"/>
      <c r="G273" s="44"/>
      <c r="H273" s="124"/>
      <c r="I273" s="124"/>
      <c r="J273" s="124"/>
      <c r="K273" s="124"/>
    </row>
    <row r="274" spans="1:11" x14ac:dyDescent="0.3">
      <c r="A274" s="124"/>
      <c r="B274" s="124"/>
      <c r="C274" s="124"/>
      <c r="D274" s="124"/>
      <c r="E274" s="124"/>
      <c r="F274" s="124"/>
      <c r="G274" s="44"/>
      <c r="H274" s="124"/>
      <c r="I274" s="124"/>
      <c r="J274" s="124"/>
      <c r="K274" s="124"/>
    </row>
    <row r="275" spans="1:11" x14ac:dyDescent="0.3">
      <c r="A275" s="124"/>
      <c r="B275" s="124"/>
      <c r="C275" s="124"/>
      <c r="D275" s="124"/>
      <c r="E275" s="124"/>
      <c r="F275" s="124"/>
      <c r="G275" s="44"/>
      <c r="H275" s="124"/>
      <c r="I275" s="124"/>
      <c r="J275" s="124"/>
      <c r="K275" s="124"/>
    </row>
    <row r="276" spans="1:11" x14ac:dyDescent="0.3">
      <c r="A276" s="124"/>
      <c r="B276" s="124"/>
      <c r="C276" s="124"/>
      <c r="D276" s="124"/>
      <c r="E276" s="124"/>
      <c r="F276" s="124"/>
      <c r="G276" s="44"/>
      <c r="H276" s="124"/>
      <c r="I276" s="124"/>
      <c r="J276" s="124"/>
      <c r="K276" s="124"/>
    </row>
    <row r="277" spans="1:11" x14ac:dyDescent="0.3">
      <c r="A277" s="124"/>
      <c r="B277" s="124"/>
      <c r="C277" s="124"/>
      <c r="D277" s="124"/>
      <c r="E277" s="124"/>
      <c r="F277" s="124"/>
      <c r="G277" s="44"/>
      <c r="H277" s="124"/>
      <c r="I277" s="124"/>
      <c r="J277" s="124"/>
      <c r="K277" s="124"/>
    </row>
    <row r="278" spans="1:11" x14ac:dyDescent="0.3">
      <c r="A278" s="124"/>
      <c r="B278" s="124"/>
      <c r="C278" s="124"/>
      <c r="D278" s="124"/>
      <c r="E278" s="124"/>
      <c r="F278" s="124"/>
      <c r="G278" s="44"/>
      <c r="H278" s="124"/>
      <c r="I278" s="124"/>
      <c r="J278" s="124"/>
      <c r="K278" s="124"/>
    </row>
    <row r="279" spans="1:11" x14ac:dyDescent="0.3">
      <c r="A279" s="124"/>
      <c r="B279" s="124"/>
      <c r="C279" s="124"/>
      <c r="D279" s="124"/>
      <c r="E279" s="124"/>
      <c r="F279" s="124"/>
      <c r="G279" s="44"/>
      <c r="H279" s="124"/>
      <c r="I279" s="124"/>
      <c r="J279" s="124"/>
      <c r="K279" s="124"/>
    </row>
    <row r="280" spans="1:11" x14ac:dyDescent="0.3">
      <c r="A280" s="124"/>
      <c r="B280" s="124"/>
      <c r="C280" s="124"/>
      <c r="D280" s="124"/>
      <c r="E280" s="124"/>
      <c r="F280" s="124"/>
      <c r="G280" s="44"/>
      <c r="H280" s="124"/>
      <c r="I280" s="124"/>
      <c r="J280" s="124"/>
      <c r="K280" s="124"/>
    </row>
    <row r="281" spans="1:11" x14ac:dyDescent="0.3">
      <c r="A281" s="124"/>
      <c r="B281" s="124"/>
      <c r="C281" s="124"/>
      <c r="D281" s="124"/>
      <c r="E281" s="124"/>
      <c r="F281" s="124"/>
      <c r="G281" s="44"/>
      <c r="H281" s="124"/>
      <c r="I281" s="124"/>
      <c r="J281" s="124"/>
      <c r="K281" s="124"/>
    </row>
    <row r="282" spans="1:11" x14ac:dyDescent="0.3">
      <c r="A282" s="124"/>
      <c r="B282" s="124"/>
      <c r="C282" s="124"/>
      <c r="D282" s="124"/>
      <c r="E282" s="124"/>
      <c r="F282" s="124"/>
      <c r="G282" s="44"/>
      <c r="H282" s="124"/>
      <c r="I282" s="124"/>
      <c r="J282" s="124"/>
      <c r="K282" s="124"/>
    </row>
    <row r="283" spans="1:11" x14ac:dyDescent="0.3">
      <c r="A283" s="124"/>
      <c r="B283" s="124"/>
      <c r="C283" s="124"/>
      <c r="D283" s="124"/>
      <c r="E283" s="124"/>
      <c r="F283" s="124"/>
      <c r="G283" s="44"/>
      <c r="H283" s="124"/>
      <c r="I283" s="124"/>
      <c r="J283" s="124"/>
      <c r="K283" s="124"/>
    </row>
    <row r="284" spans="1:11" x14ac:dyDescent="0.3">
      <c r="A284" s="124"/>
      <c r="B284" s="124"/>
      <c r="C284" s="124"/>
      <c r="D284" s="124"/>
      <c r="E284" s="124"/>
      <c r="F284" s="124"/>
      <c r="G284" s="44"/>
      <c r="H284" s="124"/>
      <c r="I284" s="124"/>
      <c r="J284" s="124"/>
      <c r="K284" s="124"/>
    </row>
    <row r="285" spans="1:11" x14ac:dyDescent="0.3">
      <c r="A285" s="124"/>
      <c r="B285" s="124"/>
      <c r="C285" s="124"/>
      <c r="D285" s="124"/>
      <c r="E285" s="124"/>
      <c r="F285" s="124"/>
      <c r="G285" s="44"/>
      <c r="H285" s="124"/>
      <c r="I285" s="124"/>
      <c r="J285" s="124"/>
      <c r="K285" s="124"/>
    </row>
    <row r="286" spans="1:11" x14ac:dyDescent="0.3">
      <c r="A286" s="124"/>
      <c r="B286" s="124"/>
      <c r="C286" s="124"/>
      <c r="D286" s="124"/>
      <c r="E286" s="124"/>
      <c r="F286" s="124"/>
      <c r="G286" s="44"/>
      <c r="H286" s="124"/>
      <c r="I286" s="124"/>
      <c r="J286" s="124"/>
      <c r="K286" s="124"/>
    </row>
    <row r="287" spans="1:11" x14ac:dyDescent="0.3">
      <c r="A287" s="124"/>
      <c r="B287" s="124"/>
      <c r="C287" s="124"/>
      <c r="D287" s="124"/>
      <c r="E287" s="124"/>
      <c r="F287" s="124"/>
      <c r="G287" s="44"/>
      <c r="H287" s="124"/>
      <c r="I287" s="124"/>
      <c r="J287" s="124"/>
      <c r="K287" s="124"/>
    </row>
    <row r="288" spans="1:11" x14ac:dyDescent="0.3">
      <c r="A288" s="124"/>
      <c r="B288" s="124"/>
      <c r="C288" s="124"/>
      <c r="D288" s="124"/>
      <c r="E288" s="124"/>
      <c r="F288" s="124"/>
      <c r="G288" s="44"/>
      <c r="H288" s="124"/>
      <c r="I288" s="124"/>
      <c r="J288" s="124"/>
      <c r="K288" s="124"/>
    </row>
    <row r="289" spans="1:11" x14ac:dyDescent="0.3">
      <c r="A289" s="124"/>
      <c r="B289" s="124"/>
      <c r="C289" s="124"/>
      <c r="D289" s="124"/>
      <c r="E289" s="124"/>
      <c r="F289" s="124"/>
      <c r="G289" s="44"/>
      <c r="H289" s="124"/>
      <c r="I289" s="124"/>
      <c r="J289" s="124"/>
      <c r="K289" s="124"/>
    </row>
    <row r="290" spans="1:11" x14ac:dyDescent="0.3">
      <c r="A290" s="124"/>
      <c r="B290" s="124"/>
      <c r="C290" s="124"/>
      <c r="D290" s="124"/>
      <c r="E290" s="124"/>
      <c r="F290" s="124"/>
      <c r="G290" s="44"/>
      <c r="H290" s="124"/>
      <c r="I290" s="124"/>
      <c r="J290" s="124"/>
      <c r="K290" s="124"/>
    </row>
    <row r="291" spans="1:11" x14ac:dyDescent="0.3">
      <c r="A291" s="124"/>
      <c r="B291" s="124"/>
      <c r="C291" s="124"/>
      <c r="D291" s="124"/>
      <c r="E291" s="124"/>
      <c r="F291" s="124"/>
      <c r="G291" s="44"/>
      <c r="H291" s="124"/>
      <c r="I291" s="124"/>
      <c r="J291" s="124"/>
      <c r="K291" s="124"/>
    </row>
    <row r="292" spans="1:11" x14ac:dyDescent="0.3">
      <c r="A292" s="124"/>
      <c r="B292" s="124"/>
      <c r="C292" s="124"/>
      <c r="D292" s="124"/>
      <c r="E292" s="124"/>
      <c r="F292" s="124"/>
      <c r="G292" s="44"/>
      <c r="H292" s="124"/>
      <c r="I292" s="124"/>
      <c r="J292" s="124"/>
      <c r="K292" s="124"/>
    </row>
    <row r="293" spans="1:11" x14ac:dyDescent="0.3">
      <c r="A293" s="124"/>
      <c r="B293" s="124"/>
      <c r="C293" s="124"/>
      <c r="D293" s="124"/>
      <c r="E293" s="124"/>
      <c r="F293" s="124"/>
      <c r="G293" s="44"/>
      <c r="H293" s="124"/>
      <c r="I293" s="124"/>
      <c r="J293" s="124"/>
      <c r="K293" s="124"/>
    </row>
    <row r="294" spans="1:11" x14ac:dyDescent="0.3">
      <c r="A294" s="124"/>
      <c r="B294" s="124"/>
      <c r="C294" s="124"/>
      <c r="D294" s="124"/>
      <c r="E294" s="124"/>
      <c r="F294" s="124"/>
      <c r="G294" s="44"/>
      <c r="H294" s="124"/>
      <c r="I294" s="124"/>
      <c r="J294" s="124"/>
      <c r="K294" s="124"/>
    </row>
    <row r="295" spans="1:11" x14ac:dyDescent="0.3">
      <c r="A295" s="124"/>
      <c r="B295" s="124"/>
      <c r="C295" s="124"/>
      <c r="D295" s="124"/>
      <c r="E295" s="124"/>
      <c r="F295" s="124"/>
      <c r="G295" s="44"/>
      <c r="H295" s="124"/>
      <c r="I295" s="124"/>
      <c r="J295" s="124"/>
      <c r="K295" s="124"/>
    </row>
    <row r="296" spans="1:11" x14ac:dyDescent="0.3">
      <c r="A296" s="124"/>
      <c r="B296" s="124"/>
      <c r="C296" s="124"/>
      <c r="D296" s="124"/>
      <c r="E296" s="124"/>
      <c r="F296" s="124"/>
      <c r="G296" s="44"/>
      <c r="H296" s="124"/>
      <c r="I296" s="124"/>
      <c r="J296" s="124"/>
      <c r="K296" s="124"/>
    </row>
    <row r="297" spans="1:11" x14ac:dyDescent="0.3">
      <c r="A297" s="124"/>
      <c r="B297" s="124"/>
      <c r="C297" s="124"/>
      <c r="D297" s="124"/>
      <c r="E297" s="124"/>
      <c r="F297" s="124"/>
      <c r="G297" s="44"/>
      <c r="H297" s="124"/>
      <c r="I297" s="124"/>
      <c r="J297" s="124"/>
      <c r="K297" s="124"/>
    </row>
    <row r="298" spans="1:11" x14ac:dyDescent="0.3">
      <c r="A298" s="124"/>
      <c r="B298" s="124"/>
      <c r="C298" s="124"/>
      <c r="D298" s="124"/>
      <c r="E298" s="124"/>
      <c r="F298" s="124"/>
      <c r="G298" s="44"/>
      <c r="H298" s="124"/>
      <c r="I298" s="124"/>
      <c r="J298" s="124"/>
      <c r="K298" s="124"/>
    </row>
    <row r="299" spans="1:11" x14ac:dyDescent="0.3">
      <c r="A299" s="124"/>
      <c r="B299" s="124"/>
      <c r="C299" s="124"/>
      <c r="D299" s="124"/>
      <c r="E299" s="124"/>
      <c r="F299" s="124"/>
      <c r="G299" s="44"/>
      <c r="H299" s="124"/>
      <c r="I299" s="124"/>
      <c r="J299" s="124"/>
      <c r="K299" s="124"/>
    </row>
    <row r="300" spans="1:11" x14ac:dyDescent="0.3">
      <c r="A300" s="124"/>
      <c r="B300" s="124"/>
      <c r="C300" s="124"/>
      <c r="D300" s="124"/>
      <c r="E300" s="124"/>
      <c r="F300" s="124"/>
      <c r="G300" s="44"/>
      <c r="H300" s="124"/>
      <c r="I300" s="124"/>
      <c r="J300" s="124"/>
      <c r="K300" s="124"/>
    </row>
    <row r="301" spans="1:11" x14ac:dyDescent="0.3">
      <c r="A301" s="124"/>
      <c r="B301" s="124"/>
      <c r="C301" s="124"/>
      <c r="D301" s="124"/>
      <c r="E301" s="124"/>
      <c r="F301" s="124"/>
      <c r="G301" s="44"/>
      <c r="H301" s="124"/>
      <c r="I301" s="124"/>
      <c r="J301" s="124"/>
      <c r="K301" s="124"/>
    </row>
    <row r="302" spans="1:11" x14ac:dyDescent="0.3">
      <c r="A302" s="124"/>
      <c r="B302" s="124"/>
      <c r="C302" s="124"/>
      <c r="D302" s="124"/>
      <c r="E302" s="124"/>
      <c r="F302" s="124"/>
      <c r="G302" s="44"/>
      <c r="H302" s="124"/>
      <c r="I302" s="124"/>
      <c r="J302" s="124"/>
      <c r="K302" s="124"/>
    </row>
    <row r="303" spans="1:11" x14ac:dyDescent="0.3">
      <c r="A303" s="124"/>
      <c r="B303" s="124"/>
      <c r="C303" s="124"/>
      <c r="D303" s="124"/>
      <c r="E303" s="124"/>
      <c r="F303" s="124"/>
      <c r="G303" s="44"/>
      <c r="H303" s="124"/>
      <c r="I303" s="124"/>
      <c r="J303" s="124"/>
      <c r="K303" s="124"/>
    </row>
    <row r="304" spans="1:11" x14ac:dyDescent="0.3">
      <c r="A304" s="124"/>
      <c r="B304" s="124"/>
      <c r="C304" s="124"/>
      <c r="D304" s="124"/>
      <c r="E304" s="124"/>
      <c r="F304" s="124"/>
      <c r="G304" s="44"/>
      <c r="H304" s="124"/>
      <c r="I304" s="124"/>
      <c r="J304" s="124"/>
      <c r="K304" s="124"/>
    </row>
    <row r="305" spans="1:11" x14ac:dyDescent="0.3">
      <c r="A305" s="124"/>
      <c r="B305" s="124"/>
      <c r="C305" s="124"/>
      <c r="D305" s="124"/>
      <c r="E305" s="124"/>
      <c r="F305" s="124"/>
      <c r="G305" s="44"/>
      <c r="H305" s="124"/>
      <c r="I305" s="124"/>
      <c r="J305" s="124"/>
      <c r="K305" s="124"/>
    </row>
    <row r="306" spans="1:11" x14ac:dyDescent="0.3">
      <c r="A306" s="124"/>
      <c r="B306" s="124"/>
      <c r="C306" s="124"/>
      <c r="D306" s="124"/>
      <c r="E306" s="124"/>
      <c r="F306" s="124"/>
      <c r="G306" s="44"/>
      <c r="H306" s="124"/>
      <c r="I306" s="124"/>
      <c r="J306" s="124"/>
      <c r="K306" s="124"/>
    </row>
    <row r="307" spans="1:11" x14ac:dyDescent="0.3">
      <c r="A307" s="124"/>
      <c r="B307" s="124"/>
      <c r="C307" s="124"/>
      <c r="D307" s="124"/>
      <c r="E307" s="124"/>
      <c r="F307" s="124"/>
      <c r="G307" s="44"/>
      <c r="H307" s="124"/>
      <c r="I307" s="124"/>
      <c r="J307" s="124"/>
      <c r="K307" s="124"/>
    </row>
    <row r="308" spans="1:11" x14ac:dyDescent="0.3">
      <c r="A308" s="124"/>
      <c r="B308" s="124"/>
      <c r="C308" s="124"/>
      <c r="D308" s="124"/>
      <c r="E308" s="124"/>
      <c r="F308" s="124"/>
      <c r="G308" s="44"/>
      <c r="H308" s="124"/>
      <c r="I308" s="124"/>
      <c r="J308" s="124"/>
      <c r="K308" s="124"/>
    </row>
    <row r="309" spans="1:11" x14ac:dyDescent="0.3">
      <c r="A309" s="124"/>
      <c r="B309" s="124"/>
      <c r="C309" s="124"/>
      <c r="D309" s="124"/>
      <c r="E309" s="124"/>
      <c r="F309" s="124"/>
      <c r="G309" s="44"/>
      <c r="H309" s="124"/>
      <c r="I309" s="124"/>
      <c r="J309" s="124"/>
      <c r="K309" s="124"/>
    </row>
    <row r="310" spans="1:11" x14ac:dyDescent="0.3">
      <c r="A310" s="124"/>
      <c r="B310" s="124"/>
      <c r="C310" s="124"/>
      <c r="D310" s="124"/>
      <c r="E310" s="124"/>
      <c r="F310" s="124"/>
      <c r="G310" s="44"/>
      <c r="H310" s="124"/>
      <c r="I310" s="124"/>
      <c r="J310" s="124"/>
      <c r="K310" s="124"/>
    </row>
    <row r="311" spans="1:11" x14ac:dyDescent="0.3">
      <c r="A311" s="124"/>
      <c r="B311" s="124"/>
      <c r="C311" s="124"/>
      <c r="D311" s="124"/>
      <c r="E311" s="124"/>
      <c r="F311" s="124"/>
      <c r="G311" s="44"/>
      <c r="H311" s="124"/>
      <c r="I311" s="124"/>
      <c r="J311" s="124"/>
      <c r="K311" s="124"/>
    </row>
    <row r="312" spans="1:11" x14ac:dyDescent="0.3">
      <c r="A312" s="124"/>
      <c r="B312" s="124"/>
      <c r="C312" s="124"/>
      <c r="D312" s="124"/>
      <c r="E312" s="124"/>
      <c r="F312" s="124"/>
      <c r="G312" s="44"/>
      <c r="H312" s="124"/>
      <c r="I312" s="124"/>
      <c r="J312" s="124"/>
      <c r="K312" s="124"/>
    </row>
    <row r="313" spans="1:11" x14ac:dyDescent="0.3">
      <c r="A313" s="124"/>
      <c r="B313" s="124"/>
      <c r="C313" s="124"/>
      <c r="D313" s="124"/>
      <c r="E313" s="124"/>
      <c r="F313" s="124"/>
      <c r="G313" s="44"/>
      <c r="H313" s="124"/>
      <c r="I313" s="124"/>
      <c r="J313" s="124"/>
      <c r="K313" s="124"/>
    </row>
    <row r="314" spans="1:11" x14ac:dyDescent="0.3">
      <c r="A314" s="124"/>
      <c r="B314" s="124"/>
      <c r="C314" s="124"/>
      <c r="D314" s="124"/>
      <c r="E314" s="124"/>
      <c r="F314" s="124"/>
      <c r="G314" s="44"/>
      <c r="H314" s="124"/>
      <c r="I314" s="124"/>
      <c r="J314" s="124"/>
      <c r="K314" s="124"/>
    </row>
    <row r="315" spans="1:11" x14ac:dyDescent="0.3">
      <c r="A315" s="124"/>
      <c r="B315" s="124"/>
      <c r="C315" s="124"/>
      <c r="D315" s="124"/>
      <c r="E315" s="124"/>
      <c r="F315" s="124"/>
      <c r="G315" s="44"/>
      <c r="H315" s="124"/>
      <c r="I315" s="124"/>
      <c r="J315" s="124"/>
      <c r="K315" s="124"/>
    </row>
    <row r="316" spans="1:11" x14ac:dyDescent="0.3">
      <c r="A316" s="124"/>
      <c r="B316" s="124"/>
      <c r="C316" s="124"/>
      <c r="D316" s="124"/>
      <c r="E316" s="124"/>
      <c r="F316" s="124"/>
      <c r="G316" s="44"/>
      <c r="H316" s="124"/>
      <c r="I316" s="124"/>
      <c r="J316" s="124"/>
      <c r="K316" s="124"/>
    </row>
    <row r="317" spans="1:11" x14ac:dyDescent="0.3">
      <c r="A317" s="124"/>
      <c r="B317" s="124"/>
      <c r="C317" s="124"/>
      <c r="D317" s="124"/>
      <c r="E317" s="124"/>
      <c r="F317" s="124"/>
      <c r="G317" s="44"/>
      <c r="H317" s="124"/>
      <c r="I317" s="124"/>
      <c r="J317" s="124"/>
      <c r="K317" s="124"/>
    </row>
    <row r="318" spans="1:11" x14ac:dyDescent="0.3">
      <c r="A318" s="124"/>
      <c r="B318" s="124"/>
      <c r="C318" s="124"/>
      <c r="D318" s="124"/>
      <c r="E318" s="124"/>
      <c r="F318" s="124"/>
      <c r="G318" s="44"/>
      <c r="H318" s="124"/>
      <c r="I318" s="124"/>
      <c r="J318" s="124"/>
      <c r="K318" s="124"/>
    </row>
    <row r="319" spans="1:11" x14ac:dyDescent="0.3">
      <c r="A319" s="124"/>
      <c r="B319" s="124"/>
      <c r="C319" s="124"/>
      <c r="D319" s="124"/>
      <c r="E319" s="124"/>
      <c r="F319" s="124"/>
      <c r="G319" s="44"/>
      <c r="H319" s="124"/>
      <c r="I319" s="124"/>
      <c r="J319" s="124"/>
      <c r="K319" s="124"/>
    </row>
    <row r="320" spans="1:11" x14ac:dyDescent="0.3">
      <c r="A320" s="124"/>
      <c r="B320" s="124"/>
      <c r="C320" s="124"/>
      <c r="D320" s="124"/>
      <c r="E320" s="124"/>
      <c r="F320" s="124"/>
      <c r="G320" s="44"/>
      <c r="H320" s="124"/>
      <c r="I320" s="124"/>
      <c r="J320" s="124"/>
      <c r="K320" s="124"/>
    </row>
    <row r="321" spans="1:11" x14ac:dyDescent="0.3">
      <c r="A321" s="124"/>
      <c r="B321" s="124"/>
      <c r="C321" s="124"/>
      <c r="D321" s="124"/>
      <c r="E321" s="124"/>
      <c r="F321" s="124"/>
      <c r="G321" s="44"/>
      <c r="H321" s="124"/>
      <c r="I321" s="124"/>
      <c r="J321" s="124"/>
      <c r="K321" s="124"/>
    </row>
    <row r="322" spans="1:11" x14ac:dyDescent="0.3">
      <c r="A322" s="124"/>
      <c r="B322" s="124"/>
      <c r="C322" s="124"/>
      <c r="D322" s="124"/>
      <c r="E322" s="124"/>
      <c r="F322" s="124"/>
      <c r="G322" s="44"/>
      <c r="H322" s="124"/>
      <c r="I322" s="124"/>
      <c r="J322" s="124"/>
      <c r="K322" s="124"/>
    </row>
    <row r="323" spans="1:11" x14ac:dyDescent="0.3">
      <c r="A323" s="124"/>
      <c r="B323" s="124"/>
      <c r="C323" s="124"/>
      <c r="D323" s="124"/>
      <c r="E323" s="124"/>
      <c r="F323" s="124"/>
      <c r="G323" s="44"/>
      <c r="H323" s="124"/>
      <c r="I323" s="124"/>
      <c r="J323" s="124"/>
      <c r="K323" s="124"/>
    </row>
    <row r="324" spans="1:11" x14ac:dyDescent="0.3">
      <c r="A324" s="124"/>
      <c r="B324" s="124"/>
      <c r="C324" s="124"/>
      <c r="D324" s="124"/>
      <c r="E324" s="124"/>
      <c r="F324" s="124"/>
      <c r="G324" s="44"/>
      <c r="H324" s="124"/>
      <c r="I324" s="124"/>
      <c r="J324" s="124"/>
      <c r="K324" s="124"/>
    </row>
    <row r="325" spans="1:11" x14ac:dyDescent="0.3">
      <c r="A325" s="124"/>
      <c r="B325" s="124"/>
      <c r="C325" s="124"/>
      <c r="D325" s="124"/>
      <c r="E325" s="124"/>
      <c r="F325" s="124"/>
      <c r="G325" s="44"/>
      <c r="H325" s="124"/>
      <c r="I325" s="124"/>
      <c r="J325" s="124"/>
      <c r="K325" s="124"/>
    </row>
    <row r="326" spans="1:11" x14ac:dyDescent="0.3">
      <c r="A326" s="124"/>
      <c r="B326" s="124"/>
      <c r="C326" s="124"/>
      <c r="D326" s="124"/>
      <c r="E326" s="124"/>
      <c r="F326" s="124"/>
      <c r="G326" s="44"/>
      <c r="H326" s="124"/>
      <c r="I326" s="124"/>
      <c r="J326" s="124"/>
      <c r="K326" s="124"/>
    </row>
    <row r="327" spans="1:11" x14ac:dyDescent="0.3">
      <c r="A327" s="124"/>
      <c r="B327" s="124"/>
      <c r="C327" s="124"/>
      <c r="D327" s="124"/>
      <c r="E327" s="124"/>
      <c r="F327" s="124"/>
      <c r="G327" s="44"/>
      <c r="H327" s="124"/>
      <c r="I327" s="124"/>
      <c r="J327" s="124"/>
      <c r="K327" s="124"/>
    </row>
    <row r="328" spans="1:11" x14ac:dyDescent="0.3">
      <c r="A328" s="124"/>
      <c r="B328" s="124"/>
      <c r="C328" s="124"/>
      <c r="D328" s="124"/>
      <c r="E328" s="124"/>
      <c r="F328" s="124"/>
      <c r="G328" s="44"/>
      <c r="H328" s="124"/>
      <c r="I328" s="124"/>
      <c r="J328" s="124"/>
      <c r="K328" s="124"/>
    </row>
    <row r="329" spans="1:11" x14ac:dyDescent="0.3">
      <c r="A329" s="124"/>
      <c r="B329" s="124"/>
      <c r="C329" s="124"/>
      <c r="D329" s="124"/>
      <c r="E329" s="124"/>
      <c r="F329" s="124"/>
      <c r="G329" s="44"/>
      <c r="H329" s="124"/>
      <c r="I329" s="124"/>
      <c r="J329" s="124"/>
      <c r="K329" s="124"/>
    </row>
    <row r="330" spans="1:11" x14ac:dyDescent="0.3">
      <c r="A330" s="124"/>
      <c r="B330" s="124"/>
      <c r="C330" s="124"/>
      <c r="D330" s="124"/>
      <c r="E330" s="124"/>
      <c r="F330" s="124"/>
      <c r="G330" s="44"/>
      <c r="H330" s="124"/>
      <c r="I330" s="124"/>
      <c r="J330" s="124"/>
      <c r="K330" s="124"/>
    </row>
    <row r="331" spans="1:11" x14ac:dyDescent="0.3">
      <c r="A331" s="124"/>
      <c r="B331" s="124"/>
      <c r="C331" s="124"/>
      <c r="D331" s="124"/>
      <c r="E331" s="124"/>
      <c r="F331" s="124"/>
      <c r="G331" s="44"/>
      <c r="H331" s="124"/>
      <c r="I331" s="124"/>
      <c r="J331" s="124"/>
      <c r="K331" s="124"/>
    </row>
    <row r="332" spans="1:11" x14ac:dyDescent="0.3">
      <c r="A332" s="124"/>
      <c r="B332" s="124"/>
      <c r="C332" s="124"/>
      <c r="D332" s="124"/>
      <c r="E332" s="124"/>
      <c r="F332" s="124"/>
      <c r="G332" s="44"/>
      <c r="H332" s="124"/>
      <c r="I332" s="124"/>
      <c r="J332" s="124"/>
      <c r="K332" s="124"/>
    </row>
    <row r="333" spans="1:11" x14ac:dyDescent="0.3">
      <c r="A333" s="124"/>
      <c r="B333" s="124"/>
      <c r="C333" s="124"/>
      <c r="D333" s="124"/>
      <c r="E333" s="124"/>
      <c r="F333" s="124"/>
      <c r="G333" s="44"/>
      <c r="H333" s="124"/>
      <c r="I333" s="124"/>
      <c r="J333" s="124"/>
      <c r="K333" s="124"/>
    </row>
    <row r="334" spans="1:11" x14ac:dyDescent="0.3">
      <c r="A334" s="124"/>
      <c r="B334" s="124"/>
      <c r="C334" s="124"/>
      <c r="D334" s="124"/>
      <c r="E334" s="124"/>
      <c r="F334" s="124"/>
      <c r="G334" s="44"/>
      <c r="H334" s="124"/>
      <c r="I334" s="124"/>
      <c r="J334" s="124"/>
      <c r="K334" s="124"/>
    </row>
    <row r="335" spans="1:11" x14ac:dyDescent="0.3">
      <c r="A335" s="124"/>
      <c r="B335" s="124"/>
      <c r="C335" s="124"/>
      <c r="D335" s="124"/>
      <c r="E335" s="124"/>
      <c r="F335" s="124"/>
      <c r="G335" s="44"/>
      <c r="H335" s="124"/>
      <c r="I335" s="124"/>
      <c r="J335" s="124"/>
      <c r="K335" s="124"/>
    </row>
    <row r="336" spans="1:11" x14ac:dyDescent="0.3">
      <c r="A336" s="124"/>
      <c r="B336" s="124"/>
      <c r="C336" s="124"/>
      <c r="D336" s="124"/>
      <c r="E336" s="124"/>
      <c r="F336" s="124"/>
      <c r="G336" s="44"/>
      <c r="H336" s="124"/>
      <c r="I336" s="124"/>
      <c r="J336" s="124"/>
      <c r="K336" s="124"/>
    </row>
    <row r="337" spans="1:11" x14ac:dyDescent="0.3">
      <c r="A337" s="124"/>
      <c r="B337" s="124"/>
      <c r="C337" s="124"/>
      <c r="D337" s="124"/>
      <c r="E337" s="124"/>
      <c r="F337" s="124"/>
      <c r="G337" s="44"/>
      <c r="H337" s="124"/>
      <c r="I337" s="124"/>
      <c r="J337" s="124"/>
      <c r="K337" s="124"/>
    </row>
    <row r="338" spans="1:11" x14ac:dyDescent="0.3">
      <c r="A338" s="124"/>
      <c r="B338" s="124"/>
      <c r="C338" s="124"/>
      <c r="D338" s="124"/>
      <c r="E338" s="124"/>
      <c r="F338" s="124"/>
      <c r="G338" s="44"/>
      <c r="H338" s="124"/>
      <c r="I338" s="124"/>
      <c r="J338" s="124"/>
      <c r="K338" s="124"/>
    </row>
    <row r="339" spans="1:11" x14ac:dyDescent="0.3">
      <c r="A339" s="124"/>
      <c r="B339" s="124"/>
      <c r="C339" s="124"/>
      <c r="D339" s="124"/>
      <c r="E339" s="124"/>
      <c r="F339" s="124"/>
      <c r="G339" s="44"/>
      <c r="H339" s="124"/>
      <c r="I339" s="124"/>
      <c r="J339" s="124"/>
      <c r="K339" s="124"/>
    </row>
    <row r="340" spans="1:11" x14ac:dyDescent="0.3">
      <c r="A340" s="124"/>
      <c r="B340" s="124"/>
      <c r="C340" s="124"/>
      <c r="D340" s="124"/>
      <c r="E340" s="124"/>
      <c r="F340" s="124"/>
      <c r="G340" s="44"/>
      <c r="H340" s="124"/>
      <c r="I340" s="124"/>
      <c r="J340" s="124"/>
      <c r="K340" s="124"/>
    </row>
    <row r="341" spans="1:11" x14ac:dyDescent="0.3">
      <c r="A341" s="124"/>
      <c r="B341" s="124"/>
      <c r="C341" s="124"/>
      <c r="D341" s="124"/>
      <c r="E341" s="124"/>
      <c r="F341" s="124"/>
      <c r="G341" s="44"/>
      <c r="H341" s="124"/>
      <c r="I341" s="124"/>
      <c r="J341" s="124"/>
      <c r="K341" s="124"/>
    </row>
    <row r="342" spans="1:11" x14ac:dyDescent="0.3">
      <c r="A342" s="124"/>
      <c r="B342" s="124"/>
      <c r="C342" s="124"/>
      <c r="D342" s="124"/>
      <c r="E342" s="124"/>
      <c r="F342" s="124"/>
      <c r="G342" s="44"/>
      <c r="H342" s="124"/>
      <c r="I342" s="124"/>
      <c r="J342" s="124"/>
      <c r="K342" s="124"/>
    </row>
    <row r="343" spans="1:11" x14ac:dyDescent="0.3">
      <c r="A343" s="124"/>
      <c r="B343" s="124"/>
      <c r="C343" s="124"/>
      <c r="D343" s="124"/>
      <c r="E343" s="124"/>
      <c r="F343" s="124"/>
      <c r="G343" s="44"/>
      <c r="H343" s="124"/>
      <c r="I343" s="124"/>
      <c r="J343" s="124"/>
      <c r="K343" s="124"/>
    </row>
    <row r="344" spans="1:11" x14ac:dyDescent="0.3">
      <c r="A344" s="124"/>
      <c r="B344" s="124"/>
      <c r="C344" s="124"/>
      <c r="D344" s="124"/>
      <c r="E344" s="124"/>
      <c r="F344" s="124"/>
      <c r="G344" s="44"/>
      <c r="H344" s="124"/>
      <c r="I344" s="124"/>
      <c r="J344" s="124"/>
      <c r="K344" s="124"/>
    </row>
    <row r="345" spans="1:11" x14ac:dyDescent="0.3">
      <c r="A345" s="124"/>
      <c r="B345" s="124"/>
      <c r="C345" s="124"/>
      <c r="D345" s="124"/>
      <c r="E345" s="124"/>
      <c r="F345" s="124"/>
      <c r="G345" s="44"/>
      <c r="H345" s="124"/>
      <c r="I345" s="124"/>
      <c r="J345" s="124"/>
      <c r="K345" s="124"/>
    </row>
    <row r="346" spans="1:11" x14ac:dyDescent="0.3">
      <c r="A346" s="124"/>
      <c r="B346" s="124"/>
      <c r="C346" s="124"/>
      <c r="D346" s="124"/>
      <c r="E346" s="124"/>
      <c r="F346" s="124"/>
      <c r="G346" s="44"/>
      <c r="H346" s="124"/>
      <c r="I346" s="124"/>
      <c r="J346" s="124"/>
      <c r="K346" s="124"/>
    </row>
    <row r="347" spans="1:11" x14ac:dyDescent="0.3">
      <c r="A347" s="124"/>
      <c r="B347" s="124"/>
      <c r="C347" s="124"/>
      <c r="D347" s="124"/>
      <c r="E347" s="124"/>
      <c r="F347" s="124"/>
      <c r="G347" s="44"/>
      <c r="H347" s="124"/>
      <c r="I347" s="124"/>
      <c r="J347" s="124"/>
      <c r="K347" s="124"/>
    </row>
    <row r="348" spans="1:11" x14ac:dyDescent="0.3">
      <c r="A348" s="124"/>
      <c r="B348" s="124"/>
      <c r="C348" s="124"/>
      <c r="D348" s="124"/>
      <c r="E348" s="124"/>
      <c r="F348" s="124"/>
      <c r="G348" s="44"/>
      <c r="H348" s="124"/>
      <c r="I348" s="124"/>
      <c r="J348" s="124"/>
      <c r="K348" s="124"/>
    </row>
    <row r="349" spans="1:11" x14ac:dyDescent="0.3">
      <c r="A349" s="124"/>
      <c r="B349" s="124"/>
      <c r="C349" s="124"/>
      <c r="D349" s="124"/>
      <c r="E349" s="124"/>
      <c r="F349" s="124"/>
      <c r="G349" s="44"/>
      <c r="H349" s="124"/>
      <c r="I349" s="124"/>
      <c r="J349" s="124"/>
      <c r="K349" s="124"/>
    </row>
    <row r="350" spans="1:11" x14ac:dyDescent="0.3">
      <c r="A350" s="124"/>
      <c r="B350" s="124"/>
      <c r="C350" s="124"/>
      <c r="D350" s="124"/>
      <c r="E350" s="124"/>
      <c r="F350" s="124"/>
      <c r="G350" s="44"/>
      <c r="H350" s="124"/>
      <c r="I350" s="124"/>
      <c r="J350" s="124"/>
      <c r="K350" s="124"/>
    </row>
    <row r="351" spans="1:11" x14ac:dyDescent="0.3">
      <c r="A351" s="124"/>
      <c r="B351" s="124"/>
      <c r="C351" s="124"/>
      <c r="D351" s="124"/>
      <c r="E351" s="124"/>
      <c r="F351" s="124"/>
      <c r="G351" s="44"/>
      <c r="H351" s="124"/>
      <c r="I351" s="124"/>
      <c r="J351" s="124"/>
      <c r="K351" s="124"/>
    </row>
    <row r="352" spans="1:11" x14ac:dyDescent="0.3">
      <c r="A352" s="124"/>
      <c r="B352" s="124"/>
      <c r="C352" s="124"/>
      <c r="D352" s="124"/>
      <c r="E352" s="124"/>
      <c r="F352" s="124"/>
      <c r="G352" s="44"/>
      <c r="H352" s="124"/>
      <c r="I352" s="124"/>
      <c r="J352" s="124"/>
      <c r="K352" s="124"/>
    </row>
    <row r="353" spans="1:11" x14ac:dyDescent="0.3">
      <c r="A353" s="124"/>
      <c r="B353" s="124"/>
      <c r="C353" s="124"/>
      <c r="D353" s="124"/>
      <c r="E353" s="124"/>
      <c r="F353" s="124"/>
      <c r="G353" s="44"/>
      <c r="H353" s="124"/>
      <c r="I353" s="124"/>
      <c r="J353" s="124"/>
      <c r="K353" s="124"/>
    </row>
    <row r="354" spans="1:11" x14ac:dyDescent="0.3">
      <c r="A354" s="124"/>
      <c r="B354" s="124"/>
      <c r="C354" s="124"/>
      <c r="D354" s="124"/>
      <c r="E354" s="124"/>
      <c r="F354" s="124"/>
      <c r="G354" s="44"/>
      <c r="H354" s="124"/>
      <c r="I354" s="124"/>
      <c r="J354" s="124"/>
      <c r="K354" s="124"/>
    </row>
    <row r="355" spans="1:11" x14ac:dyDescent="0.3">
      <c r="A355" s="124"/>
      <c r="B355" s="124"/>
      <c r="C355" s="124"/>
      <c r="D355" s="124"/>
      <c r="E355" s="124"/>
      <c r="F355" s="124"/>
      <c r="G355" s="44"/>
      <c r="H355" s="124"/>
      <c r="I355" s="124"/>
      <c r="J355" s="124"/>
      <c r="K355" s="124"/>
    </row>
    <row r="356" spans="1:11" x14ac:dyDescent="0.3">
      <c r="A356" s="124"/>
      <c r="B356" s="124"/>
      <c r="C356" s="124"/>
      <c r="D356" s="124"/>
      <c r="E356" s="124"/>
      <c r="F356" s="124"/>
      <c r="G356" s="44"/>
      <c r="H356" s="124"/>
      <c r="I356" s="124"/>
      <c r="J356" s="124"/>
      <c r="K356" s="124"/>
    </row>
    <row r="357" spans="1:11" x14ac:dyDescent="0.3">
      <c r="A357" s="124"/>
      <c r="B357" s="124"/>
      <c r="C357" s="124"/>
      <c r="D357" s="124"/>
      <c r="E357" s="124"/>
      <c r="F357" s="124"/>
      <c r="G357" s="44"/>
      <c r="H357" s="124"/>
      <c r="I357" s="124"/>
      <c r="J357" s="124"/>
      <c r="K357" s="124"/>
    </row>
  </sheetData>
  <mergeCells count="1">
    <mergeCell ref="A6:B7"/>
  </mergeCells>
  <phoneticPr fontId="0" type="noConversion"/>
  <hyperlinks>
    <hyperlink ref="B1" location="Contenido!A1" display="&lt;&lt;Contenido" xr:uid="{7F27D430-CCC2-46E0-93E7-EBCB07AF5CE9}"/>
  </hyperlinks>
  <printOptions horizontalCentered="1" verticalCentered="1"/>
  <pageMargins left="0.65" right="0.59055118110236227" top="1" bottom="1" header="0" footer="0"/>
  <pageSetup scale="52" orientation="landscape" horizontalDpi="360" verticalDpi="36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85A7-F8A0-4EB2-9C4F-F25088743996}">
  <sheetPr codeName="Hoja5"/>
  <dimension ref="A1:K26"/>
  <sheetViews>
    <sheetView workbookViewId="0">
      <selection activeCell="B4" sqref="B4"/>
    </sheetView>
  </sheetViews>
  <sheetFormatPr defaultRowHeight="15.6" x14ac:dyDescent="0.3"/>
  <cols>
    <col min="1" max="1" width="19.54296875" bestFit="1" customWidth="1"/>
    <col min="2" max="2" width="29.453125" bestFit="1" customWidth="1"/>
    <col min="3" max="4" width="5.7265625" bestFit="1" customWidth="1"/>
    <col min="5" max="5" width="5.36328125" bestFit="1" customWidth="1"/>
    <col min="6" max="9" width="4.6328125" bestFit="1" customWidth="1"/>
    <col min="10" max="11" width="1.08984375" bestFit="1" customWidth="1"/>
    <col min="12" max="256" width="10.90625" customWidth="1"/>
  </cols>
  <sheetData>
    <row r="1" spans="1:11" x14ac:dyDescent="0.3">
      <c r="A1" s="24" t="str">
        <f>LOANS!A1:H1</f>
        <v>Company  Suquimsa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">
      <c r="A2" s="31" t="s">
        <v>58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">
      <c r="A3" s="334" t="s">
        <v>376</v>
      </c>
      <c r="B3" s="334"/>
      <c r="C3" s="334"/>
      <c r="D3" s="334"/>
      <c r="E3" s="334"/>
      <c r="F3" s="334"/>
      <c r="G3" s="334"/>
      <c r="H3" s="24"/>
      <c r="I3" s="24"/>
      <c r="J3" s="24"/>
      <c r="K3" s="24"/>
    </row>
    <row r="4" spans="1:11" x14ac:dyDescent="0.3">
      <c r="A4" s="291" t="s">
        <v>377</v>
      </c>
      <c r="B4" s="292"/>
      <c r="C4" s="114">
        <v>2006</v>
      </c>
      <c r="D4" s="114">
        <v>2007</v>
      </c>
      <c r="E4" s="114">
        <v>2008</v>
      </c>
      <c r="F4" s="114">
        <f>E4+1</f>
        <v>2009</v>
      </c>
      <c r="G4" s="114">
        <f>F4+1</f>
        <v>2010</v>
      </c>
      <c r="H4" s="114">
        <f>G4+1</f>
        <v>2011</v>
      </c>
      <c r="I4" s="114">
        <f>H4+1</f>
        <v>2012</v>
      </c>
      <c r="J4" s="44"/>
      <c r="K4" s="44"/>
    </row>
    <row r="5" spans="1:11" x14ac:dyDescent="0.3">
      <c r="A5" s="292" t="s">
        <v>378</v>
      </c>
      <c r="B5" s="292" t="s">
        <v>379</v>
      </c>
      <c r="C5" s="293">
        <f>'P&amp;L (Old)'!E42/'P&amp;L (Old)'!E9</f>
        <v>0.15439861048978135</v>
      </c>
      <c r="D5" s="293" t="e">
        <f>'P&amp;L (Old)'!F42/'P&amp;L (Old)'!F9</f>
        <v>#REF!</v>
      </c>
      <c r="E5" s="293" t="e">
        <f>'P&amp;L (Old)'!G42/'P&amp;L (Old)'!G9</f>
        <v>#REF!</v>
      </c>
      <c r="F5" s="293" t="e">
        <f>'P&amp;L (Old)'!H42/'P&amp;L (Old)'!H9</f>
        <v>#REF!</v>
      </c>
      <c r="G5" s="293" t="e">
        <f>'P&amp;L (Old)'!I42/'P&amp;L (Old)'!I9</f>
        <v>#REF!</v>
      </c>
      <c r="H5" s="293" t="e">
        <f>'P&amp;L (Old)'!J42/'P&amp;L (Old)'!J9</f>
        <v>#REF!</v>
      </c>
      <c r="I5" s="293" t="e">
        <f>'P&amp;L (Old)'!#REF!/'P&amp;L (Old)'!#REF!</f>
        <v>#REF!</v>
      </c>
      <c r="J5" s="293" t="s">
        <v>12</v>
      </c>
      <c r="K5" s="293" t="s">
        <v>12</v>
      </c>
    </row>
    <row r="6" spans="1:11" x14ac:dyDescent="0.3">
      <c r="A6" s="292" t="s">
        <v>204</v>
      </c>
      <c r="B6" s="292" t="s">
        <v>380</v>
      </c>
      <c r="C6" s="293">
        <f>'P&amp;L (Old)'!E13/'P&amp;L (Old)'!E9</f>
        <v>0.60044075216097659</v>
      </c>
      <c r="D6" s="293">
        <f>'P&amp;L (Old)'!F13/'P&amp;L (Old)'!F9</f>
        <v>0.56241499487882507</v>
      </c>
      <c r="E6" s="293">
        <f>'P&amp;L (Old)'!G13/'P&amp;L (Old)'!G9</f>
        <v>0.48559649282580536</v>
      </c>
      <c r="F6" s="293">
        <f>'P&amp;L (Old)'!H13/'P&amp;L (Old)'!H9</f>
        <v>0.5495336811764987</v>
      </c>
      <c r="G6" s="293">
        <f>'P&amp;L (Old)'!I13/'P&amp;L (Old)'!I9</f>
        <v>0.56854443576496583</v>
      </c>
      <c r="H6" s="293" t="e">
        <f>'P&amp;L (Old)'!J13/'P&amp;L (Old)'!J9</f>
        <v>#REF!</v>
      </c>
      <c r="I6" s="293" t="e">
        <f>'P&amp;L (Old)'!#REF!/'P&amp;L (Old)'!#REF!</f>
        <v>#REF!</v>
      </c>
      <c r="J6" s="44"/>
      <c r="K6" s="44"/>
    </row>
    <row r="7" spans="1:11" x14ac:dyDescent="0.3">
      <c r="A7" s="292" t="s">
        <v>205</v>
      </c>
      <c r="B7" s="292" t="s">
        <v>381</v>
      </c>
      <c r="C7" s="293">
        <f>'P&amp;L (Old)'!E24/'P&amp;L (Old)'!E9</f>
        <v>0.24890787739403783</v>
      </c>
      <c r="D7" s="293" t="e">
        <f>'P&amp;L (Old)'!F24/'P&amp;L (Old)'!F9</f>
        <v>#REF!</v>
      </c>
      <c r="E7" s="293" t="e">
        <f>'P&amp;L (Old)'!G24/'P&amp;L (Old)'!G9</f>
        <v>#REF!</v>
      </c>
      <c r="F7" s="293" t="e">
        <f>'P&amp;L (Old)'!H24/'P&amp;L (Old)'!H9</f>
        <v>#REF!</v>
      </c>
      <c r="G7" s="293" t="e">
        <f>'P&amp;L (Old)'!I24/'P&amp;L (Old)'!I9</f>
        <v>#REF!</v>
      </c>
      <c r="H7" s="293" t="e">
        <f>'P&amp;L (Old)'!J24/'P&amp;L (Old)'!J9</f>
        <v>#REF!</v>
      </c>
      <c r="I7" s="293" t="e">
        <f>'P&amp;L (Old)'!#REF!/'P&amp;L (Old)'!#REF!</f>
        <v>#REF!</v>
      </c>
      <c r="J7" s="44"/>
      <c r="K7" s="44"/>
    </row>
    <row r="8" spans="1:11" ht="27.6" x14ac:dyDescent="0.3">
      <c r="A8" s="292" t="s">
        <v>382</v>
      </c>
      <c r="B8" s="292" t="s">
        <v>383</v>
      </c>
      <c r="C8" s="293">
        <f>'P&amp;L (Old)'!E42/'Balance Sheet'!D62</f>
        <v>0.33583368432278288</v>
      </c>
      <c r="D8" s="293" t="e">
        <f>'P&amp;L (Old)'!F42/'Balance Sheet'!E62</f>
        <v>#REF!</v>
      </c>
      <c r="E8" s="293" t="e">
        <f>'P&amp;L (Old)'!G42/'Balance Sheet'!F62</f>
        <v>#REF!</v>
      </c>
      <c r="F8" s="293" t="e">
        <f>'P&amp;L (Old)'!H42/'Balance Sheet'!G62</f>
        <v>#REF!</v>
      </c>
      <c r="G8" s="293" t="e">
        <f>'P&amp;L (Old)'!I42/'Balance Sheet'!H62</f>
        <v>#REF!</v>
      </c>
      <c r="H8" s="293" t="e">
        <f>'P&amp;L (Old)'!J42/'Balance Sheet'!I62</f>
        <v>#REF!</v>
      </c>
      <c r="I8" s="293" t="e">
        <f>'P&amp;L (Old)'!#REF!/'Balance Sheet'!J62</f>
        <v>#REF!</v>
      </c>
      <c r="J8" s="44"/>
      <c r="K8" s="44"/>
    </row>
    <row r="9" spans="1:11" ht="27.6" x14ac:dyDescent="0.3">
      <c r="A9" s="292" t="s">
        <v>384</v>
      </c>
      <c r="B9" s="292" t="s">
        <v>385</v>
      </c>
      <c r="C9" s="293">
        <f>('P&amp;L (Old)'!E24*(1-0.35))/'Balance Sheet'!D32</f>
        <v>0.25464419398578025</v>
      </c>
      <c r="D9" s="293" t="e">
        <f>('P&amp;L (Old)'!F24*(1-0.35))/'Balance Sheet'!E32</f>
        <v>#REF!</v>
      </c>
      <c r="E9" s="293" t="e">
        <f>('P&amp;L (Old)'!G24*(1-0.35))/'Balance Sheet'!F32</f>
        <v>#REF!</v>
      </c>
      <c r="F9" s="293" t="e">
        <f>('P&amp;L (Old)'!H24*(1-0.35))/'Balance Sheet'!G32</f>
        <v>#REF!</v>
      </c>
      <c r="G9" s="293" t="e">
        <f>('P&amp;L (Old)'!I24*(1-0.35))/'Balance Sheet'!H32</f>
        <v>#REF!</v>
      </c>
      <c r="H9" s="293" t="e">
        <f>('P&amp;L (Old)'!J24*(1-0.35))/'Balance Sheet'!I32</f>
        <v>#REF!</v>
      </c>
      <c r="I9" s="293" t="e">
        <f>('P&amp;L (Old)'!#REF!*(1-0.35))/'Balance Sheet'!J32</f>
        <v>#REF!</v>
      </c>
      <c r="J9" s="44"/>
      <c r="K9" s="44"/>
    </row>
    <row r="10" spans="1:11" x14ac:dyDescent="0.3">
      <c r="A10" s="292"/>
      <c r="B10" s="292"/>
      <c r="C10" s="293"/>
      <c r="D10" s="44"/>
      <c r="E10" s="44"/>
      <c r="F10" s="44"/>
      <c r="G10" s="44"/>
      <c r="H10" s="44"/>
      <c r="I10" s="44"/>
      <c r="J10" s="44"/>
      <c r="K10" s="44"/>
    </row>
    <row r="11" spans="1:11" x14ac:dyDescent="0.3">
      <c r="A11" s="291" t="s">
        <v>19</v>
      </c>
      <c r="B11" s="292"/>
      <c r="C11" s="293"/>
      <c r="D11" s="44"/>
      <c r="E11" s="44"/>
      <c r="F11" s="44"/>
      <c r="G11" s="44"/>
      <c r="H11" s="44"/>
      <c r="I11" s="44"/>
      <c r="J11" s="44"/>
      <c r="K11" s="44"/>
    </row>
    <row r="12" spans="1:11" x14ac:dyDescent="0.3">
      <c r="A12" s="292" t="s">
        <v>20</v>
      </c>
      <c r="B12" s="292" t="s">
        <v>386</v>
      </c>
      <c r="C12" s="293">
        <f>'P&amp;L (Old)'!E9/'Balance Sheet'!D32</f>
        <v>1.5739168343775602</v>
      </c>
      <c r="D12" s="293">
        <f>'P&amp;L (Old)'!F9/'Balance Sheet'!E32</f>
        <v>1.166001062833337</v>
      </c>
      <c r="E12" s="293">
        <f>'P&amp;L (Old)'!G9/'Balance Sheet'!F32</f>
        <v>0.97505036869453177</v>
      </c>
      <c r="F12" s="293">
        <f>'P&amp;L (Old)'!H9/'Balance Sheet'!G32</f>
        <v>1.1478596080518713</v>
      </c>
      <c r="G12" s="293">
        <f>'P&amp;L (Old)'!I9/'Balance Sheet'!H32</f>
        <v>1.0115165856975099</v>
      </c>
      <c r="H12" s="293">
        <f>'P&amp;L (Old)'!J9/'Balance Sheet'!I32</f>
        <v>0.86675503537617959</v>
      </c>
      <c r="I12" s="293" t="e">
        <f>'P&amp;L (Old)'!#REF!/'Balance Sheet'!J32</f>
        <v>#REF!</v>
      </c>
      <c r="J12" s="44"/>
      <c r="K12" s="44"/>
    </row>
    <row r="13" spans="1:11" x14ac:dyDescent="0.3">
      <c r="A13" s="292" t="s">
        <v>387</v>
      </c>
      <c r="B13" s="292" t="s">
        <v>388</v>
      </c>
      <c r="C13" s="293">
        <f>'P&amp;L (Old)'!E9/'Balance Sheet'!D25</f>
        <v>6.81178856821181</v>
      </c>
      <c r="D13" s="293">
        <f>'P&amp;L (Old)'!F9/'Balance Sheet'!E25</f>
        <v>8.3252729816493769</v>
      </c>
      <c r="E13" s="293">
        <f>'P&amp;L (Old)'!G9/'Balance Sheet'!F25</f>
        <v>2.9271777673063677</v>
      </c>
      <c r="F13" s="293">
        <f>'P&amp;L (Old)'!H9/'Balance Sheet'!G25</f>
        <v>4.1957911764347839</v>
      </c>
      <c r="G13" s="293">
        <f>'P&amp;L (Old)'!I9/'Balance Sheet'!H25</f>
        <v>5.5270782584981673</v>
      </c>
      <c r="H13" s="293">
        <f>'P&amp;L (Old)'!J9/'Balance Sheet'!I25</f>
        <v>7.3392711041873149</v>
      </c>
      <c r="I13" s="293" t="e">
        <f>'P&amp;L (Old)'!#REF!/'Balance Sheet'!J25</f>
        <v>#REF!</v>
      </c>
      <c r="J13" s="44"/>
      <c r="K13" s="44"/>
    </row>
    <row r="14" spans="1:11" x14ac:dyDescent="0.3">
      <c r="A14" s="292" t="s">
        <v>21</v>
      </c>
      <c r="B14" s="292" t="s">
        <v>389</v>
      </c>
      <c r="C14" s="293">
        <f>('Balance Sheet'!D13*360)/'P&amp;L (Old)'!E9</f>
        <v>94.736041697316153</v>
      </c>
      <c r="D14" s="293">
        <f>('Balance Sheet'!E13*360)/'P&amp;L (Old)'!F9</f>
        <v>114.2148300977786</v>
      </c>
      <c r="E14" s="293">
        <f>('Balance Sheet'!F13*360)/'P&amp;L (Old)'!G9</f>
        <v>108</v>
      </c>
      <c r="F14" s="293">
        <f>('Balance Sheet'!G13*360)/'P&amp;L (Old)'!H9</f>
        <v>95.4</v>
      </c>
      <c r="G14" s="293">
        <f>('Balance Sheet'!H13*360)/'P&amp;L (Old)'!I9</f>
        <v>95.399999999999991</v>
      </c>
      <c r="H14" s="293">
        <f>('Balance Sheet'!I13*360)/'P&amp;L (Old)'!J9</f>
        <v>95.4</v>
      </c>
      <c r="I14" s="293" t="e">
        <f>('Balance Sheet'!J13*360)/'P&amp;L (Old)'!#REF!</f>
        <v>#REF!</v>
      </c>
      <c r="J14" s="44"/>
      <c r="K14" s="44"/>
    </row>
    <row r="15" spans="1:11" x14ac:dyDescent="0.3">
      <c r="A15" s="292"/>
      <c r="B15" s="292"/>
      <c r="C15" s="293"/>
      <c r="D15" s="293"/>
      <c r="E15" s="293"/>
      <c r="F15" s="293"/>
      <c r="G15" s="293"/>
      <c r="H15" s="293"/>
      <c r="I15" s="293"/>
      <c r="J15" s="44"/>
      <c r="K15" s="44"/>
    </row>
    <row r="16" spans="1:11" x14ac:dyDescent="0.3">
      <c r="A16" s="291" t="s">
        <v>22</v>
      </c>
      <c r="B16" s="292"/>
      <c r="C16" s="293" t="s">
        <v>12</v>
      </c>
      <c r="D16" s="293" t="s">
        <v>12</v>
      </c>
      <c r="E16" s="293" t="s">
        <v>12</v>
      </c>
      <c r="F16" s="293" t="s">
        <v>12</v>
      </c>
      <c r="G16" s="293" t="s">
        <v>12</v>
      </c>
      <c r="H16" s="293" t="s">
        <v>12</v>
      </c>
      <c r="I16" s="293" t="s">
        <v>12</v>
      </c>
      <c r="J16" s="44"/>
      <c r="K16" s="44"/>
    </row>
    <row r="17" spans="1:11" x14ac:dyDescent="0.3">
      <c r="A17" s="292" t="s">
        <v>390</v>
      </c>
      <c r="B17" s="292" t="s">
        <v>391</v>
      </c>
      <c r="C17" s="294">
        <f>'Balance Sheet'!D14-'Balance Sheet'!D45</f>
        <v>250421.55</v>
      </c>
      <c r="D17" s="294">
        <f>'Balance Sheet'!E14-'Balance Sheet'!E45</f>
        <v>610132.56000000006</v>
      </c>
      <c r="E17" s="294" t="e">
        <f>'Balance Sheet'!F14-'Balance Sheet'!F45</f>
        <v>#REF!</v>
      </c>
      <c r="F17" s="294" t="e">
        <f>'Balance Sheet'!G14-'Balance Sheet'!G45</f>
        <v>#REF!</v>
      </c>
      <c r="G17" s="294" t="e">
        <f>'Balance Sheet'!H14-'Balance Sheet'!H45</f>
        <v>#REF!</v>
      </c>
      <c r="H17" s="294" t="e">
        <f>'Balance Sheet'!I14-'Balance Sheet'!I45</f>
        <v>#REF!</v>
      </c>
      <c r="I17" s="294" t="e">
        <f>'Balance Sheet'!J14-'Balance Sheet'!J45</f>
        <v>#REF!</v>
      </c>
      <c r="J17" s="44"/>
      <c r="K17" s="44"/>
    </row>
    <row r="18" spans="1:11" x14ac:dyDescent="0.3">
      <c r="A18" s="292" t="s">
        <v>23</v>
      </c>
      <c r="B18" s="292" t="s">
        <v>392</v>
      </c>
      <c r="C18" s="293">
        <f>'Balance Sheet'!D14/'Balance Sheet'!D45</f>
        <v>4.9320429051967745</v>
      </c>
      <c r="D18" s="293">
        <f>'Balance Sheet'!E14/'Balance Sheet'!E45</f>
        <v>5.8982065540784205</v>
      </c>
      <c r="E18" s="293" t="e">
        <f>'Balance Sheet'!F14/'Balance Sheet'!F45</f>
        <v>#REF!</v>
      </c>
      <c r="F18" s="293" t="e">
        <f>'Balance Sheet'!G14/'Balance Sheet'!G45</f>
        <v>#REF!</v>
      </c>
      <c r="G18" s="293" t="e">
        <f>'Balance Sheet'!H14/'Balance Sheet'!H45</f>
        <v>#REF!</v>
      </c>
      <c r="H18" s="293" t="e">
        <f>'Balance Sheet'!I14/'Balance Sheet'!I45</f>
        <v>#REF!</v>
      </c>
      <c r="I18" s="293" t="e">
        <f>'Balance Sheet'!J14/'Balance Sheet'!J45</f>
        <v>#REF!</v>
      </c>
      <c r="J18" s="44"/>
      <c r="K18" s="44"/>
    </row>
    <row r="19" spans="1:11" ht="27.6" x14ac:dyDescent="0.3">
      <c r="A19" s="292" t="s">
        <v>24</v>
      </c>
      <c r="B19" s="292" t="s">
        <v>393</v>
      </c>
      <c r="C19" s="293">
        <f>('Balance Sheet'!D14-'Balance Sheet'!D11-'Balance Sheet'!D12)/'Balance Sheet'!D45</f>
        <v>3.6007432554544945</v>
      </c>
      <c r="D19" s="293">
        <f>('Balance Sheet'!E14-'Balance Sheet'!E11-'Balance Sheet'!E12)/'Balance Sheet'!E45</f>
        <v>3.5760860175828282</v>
      </c>
      <c r="E19" s="293" t="e">
        <f>('Balance Sheet'!F14-'Balance Sheet'!F11-'Balance Sheet'!F12)/'Balance Sheet'!F45</f>
        <v>#REF!</v>
      </c>
      <c r="F19" s="293" t="e">
        <f>('Balance Sheet'!G14-'Balance Sheet'!G11-'Balance Sheet'!G12)/'Balance Sheet'!G45</f>
        <v>#REF!</v>
      </c>
      <c r="G19" s="293" t="e">
        <f>('Balance Sheet'!H14-'Balance Sheet'!H11-'Balance Sheet'!H12)/'Balance Sheet'!H45</f>
        <v>#REF!</v>
      </c>
      <c r="H19" s="293" t="e">
        <f>('Balance Sheet'!I14-'Balance Sheet'!I11-'Balance Sheet'!I12)/'Balance Sheet'!I45</f>
        <v>#REF!</v>
      </c>
      <c r="I19" s="293" t="e">
        <f>('Balance Sheet'!J14-'Balance Sheet'!J11-'Balance Sheet'!J12)/'Balance Sheet'!J45</f>
        <v>#REF!</v>
      </c>
      <c r="J19" s="44"/>
      <c r="K19" s="44"/>
    </row>
    <row r="20" spans="1:11" x14ac:dyDescent="0.3">
      <c r="A20" s="292"/>
      <c r="B20" s="292"/>
      <c r="C20" s="293"/>
      <c r="D20" s="293"/>
      <c r="E20" s="293"/>
      <c r="F20" s="293"/>
      <c r="G20" s="293"/>
      <c r="H20" s="293"/>
      <c r="I20" s="293"/>
      <c r="J20" s="44"/>
      <c r="K20" s="44"/>
    </row>
    <row r="21" spans="1:11" x14ac:dyDescent="0.3">
      <c r="A21" s="291" t="s">
        <v>25</v>
      </c>
      <c r="B21" s="292"/>
      <c r="C21" s="293"/>
      <c r="D21" s="293"/>
      <c r="E21" s="293"/>
      <c r="F21" s="293"/>
      <c r="G21" s="293"/>
      <c r="H21" s="293"/>
      <c r="I21" s="293"/>
      <c r="J21" s="44"/>
      <c r="K21" s="44"/>
    </row>
    <row r="22" spans="1:11" x14ac:dyDescent="0.3">
      <c r="A22" s="292" t="s">
        <v>26</v>
      </c>
      <c r="B22" s="292" t="s">
        <v>394</v>
      </c>
      <c r="C22" s="293">
        <f>'Balance Sheet'!D54/'Balance Sheet'!D32</f>
        <v>0.27639616911987236</v>
      </c>
      <c r="D22" s="293">
        <f>'Balance Sheet'!E54/'Balance Sheet'!E32</f>
        <v>0.34669975661274599</v>
      </c>
      <c r="E22" s="293" t="e">
        <f>'Balance Sheet'!F54/'Balance Sheet'!F32</f>
        <v>#REF!</v>
      </c>
      <c r="F22" s="293" t="e">
        <f>'Balance Sheet'!G54/'Balance Sheet'!G32</f>
        <v>#REF!</v>
      </c>
      <c r="G22" s="293" t="e">
        <f>'Balance Sheet'!H54/'Balance Sheet'!H32</f>
        <v>#REF!</v>
      </c>
      <c r="H22" s="293" t="e">
        <f>'Balance Sheet'!I54/'Balance Sheet'!I32</f>
        <v>#REF!</v>
      </c>
      <c r="I22" s="293" t="e">
        <f>'Balance Sheet'!J54/'Balance Sheet'!J32</f>
        <v>#REF!</v>
      </c>
      <c r="J22" s="44"/>
      <c r="K22" s="44"/>
    </row>
    <row r="23" spans="1:11" x14ac:dyDescent="0.3">
      <c r="A23" s="292" t="s">
        <v>105</v>
      </c>
      <c r="B23" s="292" t="s">
        <v>395</v>
      </c>
      <c r="C23" s="293">
        <f>'Balance Sheet'!D54/('Balance Sheet'!D58+'Balance Sheet'!D59)</f>
        <v>1.7430832501378313</v>
      </c>
      <c r="D23" s="293">
        <f>'Balance Sheet'!E54/('Balance Sheet'!E58+'Balance Sheet'!E59)</f>
        <v>4.5117557479399801</v>
      </c>
      <c r="E23" s="293" t="e">
        <f>'Balance Sheet'!F54/('Balance Sheet'!F58+'Balance Sheet'!F59)</f>
        <v>#REF!</v>
      </c>
      <c r="F23" s="293" t="e">
        <f>'Balance Sheet'!G54/('Balance Sheet'!G58+'Balance Sheet'!G59)</f>
        <v>#REF!</v>
      </c>
      <c r="G23" s="293" t="e">
        <f>'Balance Sheet'!H54/('Balance Sheet'!H58+'Balance Sheet'!H59)</f>
        <v>#REF!</v>
      </c>
      <c r="H23" s="293" t="e">
        <f>'Balance Sheet'!I54/('Balance Sheet'!I58+'Balance Sheet'!I59)</f>
        <v>#REF!</v>
      </c>
      <c r="I23" s="293" t="e">
        <f>'Balance Sheet'!J54/('Balance Sheet'!J58+'Balance Sheet'!J59)</f>
        <v>#REF!</v>
      </c>
      <c r="J23" s="44"/>
      <c r="K23" s="44"/>
    </row>
    <row r="24" spans="1:11" x14ac:dyDescent="0.3">
      <c r="A24" s="292" t="s">
        <v>12</v>
      </c>
      <c r="B24" s="44" t="s">
        <v>12</v>
      </c>
      <c r="C24" s="293"/>
      <c r="D24" s="44"/>
      <c r="E24" s="44"/>
      <c r="F24" s="44"/>
      <c r="G24" s="44"/>
      <c r="H24" s="44"/>
      <c r="I24" s="44"/>
      <c r="J24" s="44"/>
      <c r="K24" s="44"/>
    </row>
    <row r="25" spans="1:11" x14ac:dyDescent="0.3">
      <c r="A25" s="44"/>
      <c r="B25" s="44"/>
      <c r="C25" s="293"/>
      <c r="D25" s="44"/>
      <c r="E25" s="44"/>
      <c r="F25" s="44"/>
      <c r="G25" s="44"/>
      <c r="H25" s="44"/>
      <c r="I25" s="44"/>
      <c r="J25" s="44"/>
      <c r="K25" s="44"/>
    </row>
    <row r="26" spans="1:11" x14ac:dyDescent="0.3">
      <c r="A26" s="44"/>
      <c r="B26" s="44"/>
      <c r="C26" s="293"/>
      <c r="D26" s="44"/>
      <c r="E26" s="44"/>
      <c r="F26" s="44"/>
      <c r="G26" s="44"/>
      <c r="H26" s="44"/>
      <c r="I26" s="44"/>
      <c r="J26" s="44"/>
      <c r="K26" s="44"/>
    </row>
  </sheetData>
  <mergeCells count="1">
    <mergeCell ref="A3:G3"/>
  </mergeCells>
  <phoneticPr fontId="0" type="noConversion"/>
  <hyperlinks>
    <hyperlink ref="A2" location="Contenido!A1" display="&lt;&lt;Contenido" xr:uid="{1DB9C811-C516-4735-B802-FBF319F15EC9}"/>
  </hyperlinks>
  <pageMargins left="0.75" right="0.75" top="1" bottom="1" header="0" footer="0"/>
  <pageSetup paperSize="9" orientation="landscape" horizontalDpi="4294967293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Contents</vt:lpstr>
      <vt:lpstr>P&amp;L (Old)</vt:lpstr>
      <vt:lpstr>Financial Objectives</vt:lpstr>
      <vt:lpstr>Revenue</vt:lpstr>
      <vt:lpstr>Costs</vt:lpstr>
      <vt:lpstr>Expenses</vt:lpstr>
      <vt:lpstr>Personal</vt:lpstr>
      <vt:lpstr>LOANS</vt:lpstr>
      <vt:lpstr>P&amp;L (New)</vt:lpstr>
      <vt:lpstr>P&amp;L Visuals</vt:lpstr>
      <vt:lpstr>Income Data - 12 Period</vt:lpstr>
      <vt:lpstr>LEASING</vt:lpstr>
      <vt:lpstr>Balance Sheet</vt:lpstr>
      <vt:lpstr>Cash Flow</vt:lpstr>
      <vt:lpstr>7.-Balance Sheet</vt:lpstr>
      <vt:lpstr>Ratios</vt:lpstr>
      <vt:lpstr>'7.-Balance Sheet'!Print_Area</vt:lpstr>
      <vt:lpstr>Costs!Print_Area</vt:lpstr>
      <vt:lpstr>LEASING!Print_Area</vt:lpstr>
      <vt:lpstr>LOANS!Print_Area</vt:lpstr>
      <vt:lpstr>'P&amp;L (Old)'!Print_Area</vt:lpstr>
      <vt:lpstr>Revenue!Print_Area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Oscar Zapata</cp:lastModifiedBy>
  <cp:lastPrinted>2026-07-09T15:04:36Z</cp:lastPrinted>
  <dcterms:created xsi:type="dcterms:W3CDTF">1999-10-27T14:25:30Z</dcterms:created>
  <dcterms:modified xsi:type="dcterms:W3CDTF">2026-10-13T01:43:34Z</dcterms:modified>
</cp:coreProperties>
</file>